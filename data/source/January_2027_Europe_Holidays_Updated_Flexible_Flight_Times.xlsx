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8eda0e445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rtlist" sheetId="1" r:id="R387156309496482d"/>
    <x:sheet xmlns:r="http://schemas.openxmlformats.org/officeDocument/2006/relationships" name="Viable itineraries" sheetId="2" r:id="Rad96529fa1fb4267"/>
    <x:sheet xmlns:r="http://schemas.openxmlformats.org/officeDocument/2006/relationships" name="Connections to verify" sheetId="3" r:id="R8237240d19604355"/>
    <x:sheet xmlns:r="http://schemas.openxmlformats.org/officeDocument/2006/relationships" name="Destination guide" sheetId="4" r:id="Ra0f8624ed5344958"/>
    <x:sheet xmlns:r="http://schemas.openxmlformats.org/officeDocument/2006/relationships" name="Uploaded outbound" sheetId="5" r:id="R4726c9df9036404f"/>
    <x:sheet xmlns:r="http://schemas.openxmlformats.org/officeDocument/2006/relationships" name="Uploaded return" sheetId="6" r:id="R32cc6020abc7440b"/>
    <x:sheet xmlns:r="http://schemas.openxmlformats.org/officeDocument/2006/relationships" name="Method &amp; assumptions" sheetId="7" r:id="Rd5350d5385cf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£#,##0.00;[Red](£#,##0.00);–"/>
    <x:numFmt numFmtId="201" formatCode="0.0"/>
    <x:numFmt numFmtId="202" formatCode="0"/>
    <x:numFmt numFmtId="203" formatCode="ddd dd mmm yyyy"/>
    <x:numFmt numFmtId="204" formatCode="hh:mm"/>
  </x:numFmts>
  <x:fonts count="8">
    <x:font>
      <x:sz val="11"/>
      <x:name val="Carlito"/>
    </x:font>
    <x:font>
      <x:b/>
      <x:sz val="17"/>
      <x:color rgb="FFFFFFFF"/>
      <x:name val="Carlito"/>
    </x:font>
    <x:font>
      <x:sz val="10"/>
      <x:color rgb="FF566879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3"/>
      <x:color rgb="FF17324D"/>
      <x:name val="Carlito"/>
    </x:font>
    <x:font>
      <x:b/>
      <x:sz val="11"/>
      <x:color rgb="FFFFFFFF"/>
      <x:name val="Carlito"/>
    </x:font>
    <x:font>
      <x:i/>
      <x:sz val="11"/>
      <x:color rgb="FF56687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6F9"/>
      </x:patternFill>
    </x:fill>
    <x:fill>
      <x:patternFill patternType="solid">
        <x:fgColor rgb="FF274861"/>
      </x:patternFill>
    </x:fill>
    <x:fill>
      <x:patternFill patternType="solid">
        <x:fgColor rgb="FFFFF4D9"/>
      </x:patternFill>
    </x:fill>
    <x:fill>
      <x:patternFill patternType="solid">
        <x:fgColor rgb="FFE5F2ED"/>
      </x:patternFill>
    </x:fill>
    <x:fill>
      <x:patternFill patternType="solid">
        <x:fgColor rgb="FFE9F5F3"/>
      </x:patternFill>
    </x:fill>
    <x:fill>
      <x:patternFill patternType="solid">
        <x:fgColor rgb="FF087E86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6" borderId="0" xfId="0" applyNumberFormat="1" applyFont="1" applyFill="1" applyBorder="1"/>
    <x:xf numFmtId="20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de5b9b9774526" /><Relationship Type="http://schemas.openxmlformats.org/officeDocument/2006/relationships/theme" Target="/xl/theme/theme1.xml" Id="R7b9af8ae370e4051" /><Relationship Type="http://schemas.openxmlformats.org/officeDocument/2006/relationships/sharedStrings" Target="/xl/sharedStrings.xml" Id="R5c38a19b1eb14aa6" /><Relationship Type="http://schemas.openxmlformats.org/officeDocument/2006/relationships/worksheet" Target="/xl/worksheets/sheet1.xml" Id="R387156309496482d" /><Relationship Type="http://schemas.openxmlformats.org/officeDocument/2006/relationships/worksheet" Target="/xl/worksheets/sheet2.xml" Id="Rad96529fa1fb4267" /><Relationship Type="http://schemas.openxmlformats.org/officeDocument/2006/relationships/worksheet" Target="/xl/worksheets/sheet3.xml" Id="R8237240d19604355" /><Relationship Type="http://schemas.openxmlformats.org/officeDocument/2006/relationships/worksheet" Target="/xl/worksheets/sheet4.xml" Id="Ra0f8624ed5344958" /><Relationship Type="http://schemas.openxmlformats.org/officeDocument/2006/relationships/worksheet" Target="/xl/worksheets/sheet5.xml" Id="R4726c9df9036404f" /><Relationship Type="http://schemas.openxmlformats.org/officeDocument/2006/relationships/worksheet" Target="/xl/worksheets/sheet6.xml" Id="R32cc6020abc7440b" /><Relationship Type="http://schemas.openxmlformats.org/officeDocument/2006/relationships/worksheet" Target="/xl/worksheets/sheet7.xml" Id="Rd5350d5385cf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20" hidden="0" customWidth="1"/>
    <x:col min="7" max="7" width="16" hidden="0" customWidth="1"/>
    <x:col min="8" max="8" width="15" hidden="0" customWidth="1"/>
    <x:col min="9" max="9" width="18" hidden="0" customWidth="1"/>
    <x:col min="10" max="10" width="14" hidden="0" customWidth="1"/>
    <x:col min="11" max="11" width="39" hidden="0" customWidth="1"/>
    <x:col min="12" max="12" width="58" hidden="0" customWidth="1"/>
  </x:cols>
  <x:sheetData>
    <x:row r="1" ht="33" customHeight="1">
      <x:c r="A1" s="4" t="str">
        <x:v>JANUARY 2027 • SHORTLIST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10" t="str">
        <x:v>Two adults • Edinburgh or Glasgow • flights 17/18 Jan; return 21/22 Jan • no time-of-day cut-offs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22" t="str">
        <x:v>Direct destinations</x:v>
      </x:c>
      <x:c r="B4" s="38" t="n">
        <x:v>20</x:v>
      </x:c>
    </x:row>
    <x:row r="5">
      <x:c r="A5" s="22" t="str">
        <x:v>Flight pairings</x:v>
      </x:c>
      <x:c r="B5" s="38" t="n">
        <x:v>77</x:v>
      </x:c>
    </x:row>
    <x:row r="6">
      <x:c r="A6" s="22" t="str">
        <x:v>Priced packages</x:v>
      </x:c>
      <x:c r="B6" s="38" t="n">
        <x:v>20</x:v>
      </x:c>
    </x:row>
    <x:row r="7" ht="22" customHeight="1">
      <x:c r="A7" s="48" t="str">
        <x:v>A missing fare is deliberately blank: scheduled flights are not automatically cheap flights. Schedules require reconfirmation before purchase.</x:v>
      </x:c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</x:row>
    <x:row r="8" ht="24" customHeight="1">
      <x:c r="A8" s="43" t="str">
        <x:v>PRICE-MATCHED • RETURN FLIGHTS + SHARED ACCOMMODATION</x:v>
      </x:c>
      <x:c r="B8" s="43" t="str"/>
      <x:c r="C8" s="43" t="str"/>
      <x:c r="D8" s="43" t="str"/>
      <x:c r="E8" s="43" t="str"/>
      <x:c r="F8" s="43" t="str"/>
      <x:c r="G8" s="43" t="str"/>
      <x:c r="H8" s="43" t="str"/>
      <x:c r="I8" s="43" t="str"/>
      <x:c r="J8" s="43" t="str"/>
      <x:c r="K8" s="43" t="str"/>
      <x:c r="L8" s="43" t="str"/>
    </x:row>
    <x:row r="9" ht="37" customHeight="1">
      <x:c r="A9" s="17" t="str">
        <x:v>Rank</x:v>
      </x:c>
      <x:c r="B9" s="17" t="str">
        <x:v>Destination</x:v>
      </x:c>
      <x:c r="C9" s="17" t="str">
        <x:v>Depart</x:v>
      </x:c>
      <x:c r="D9" s="17" t="str">
        <x:v>Return</x:v>
      </x:c>
      <x:c r="E9" s="17" t="str">
        <x:v>Airport</x:v>
      </x:c>
      <x:c r="F9" s="17" t="str">
        <x:v>Nights</x:v>
      </x:c>
      <x:c r="G9" s="17" t="str">
        <x:v>Flight pp</x:v>
      </x:c>
      <x:c r="H9" s="17" t="str">
        <x:v>Room / 2</x:v>
      </x:c>
      <x:c r="I9" s="17" t="str">
        <x:v>Combined / 2</x:v>
      </x:c>
      <x:c r="J9" s="17" t="str">
        <x:v>With extras / 2</x:v>
      </x:c>
      <x:c r="K9" s="17" t="str">
        <x:v>Flight evidence</x:v>
      </x:c>
      <x:c r="L9" s="17" t="str">
        <x:v>Priority reason</x:v>
      </x:c>
    </x:row>
    <x:row r="10">
      <x:c r="A10" t="n">
        <x:v>1</x:v>
      </x:c>
      <x:c r="B10" s="22" t="str">
        <x:v>Wrocław</x:v>
      </x:c>
      <x:c r="C10" t="str">
        <x:v>18 Jan</x:v>
      </x:c>
      <x:c r="D10" t="str">
        <x:v>22 Jan</x:v>
      </x:c>
      <x:c r="E10" t="str">
        <x:v>GLA</x:v>
      </x:c>
      <x:c r="F10" t="n">
        <x:v>4</x:v>
      </x:c>
      <x:c r="G10" s="24" t="n">
        <x:v>47</x:v>
      </x:c>
      <x:c r="H10" s="24" t="n">
        <x:v>104.18</x:v>
      </x:c>
      <x:c r="I10" s="46" t="n">
        <x:f>'Viable itineraries'!R7</x:f>
        <x:v>198.18</x:v>
      </x:c>
      <x:c r="J10" s="46" t="n">
        <x:f>'Viable itineraries'!S7</x:f>
        <x:v>298.18</x:v>
      </x:c>
      <x:c r="K10" t="str">
        <x:v>Prior dated fare; timing recheck</x:v>
      </x:c>
      <x:c r="L10" t="str">
        <x:v>Very low flight + room price; 3 full sightseeing days depending on flights</x:v>
      </x:c>
    </x:row>
    <x:row r="11">
      <x:c r="A11" t="n">
        <x:v>2</x:v>
      </x:c>
      <x:c r="B11" s="22" t="str">
        <x:v>Kaunas</x:v>
      </x:c>
      <x:c r="C11" t="str">
        <x:v>18 Jan</x:v>
      </x:c>
      <x:c r="D11" t="str">
        <x:v>22 Jan</x:v>
      </x:c>
      <x:c r="E11" t="str">
        <x:v>EDI</x:v>
      </x:c>
      <x:c r="F11" t="n">
        <x:v>4</x:v>
      </x:c>
      <x:c r="G11" s="24" t="n">
        <x:v>77</x:v>
      </x:c>
      <x:c r="H11" s="24" t="n">
        <x:v>130.37</x:v>
      </x:c>
      <x:c r="I11" s="46" t="n">
        <x:f>'Viable itineraries'!R8</x:f>
        <x:v>284.37</x:v>
      </x:c>
      <x:c r="J11" s="46" t="n">
        <x:f>'Viable itineraries'!S8</x:f>
        <x:v>384.37</x:v>
      </x:c>
      <x:c r="K11" t="str">
        <x:v>Uploaded direct timetable</x:v>
      </x:c>
      <x:c r="L11" t="str">
        <x:v>Strong budget Baltic option; Vilnius rail link</x:v>
      </x:c>
    </x:row>
    <x:row r="12">
      <x:c r="A12" t="n">
        <x:v>3</x:v>
      </x:c>
      <x:c r="B12" s="22" t="str">
        <x:v>Warsaw</x:v>
      </x:c>
      <x:c r="C12" t="str">
        <x:v>17 Jan</x:v>
      </x:c>
      <x:c r="D12" t="str">
        <x:v>22 Jan</x:v>
      </x:c>
      <x:c r="E12" t="str">
        <x:v>EDI</x:v>
      </x:c>
      <x:c r="F12" t="n">
        <x:v>5</x:v>
      </x:c>
      <x:c r="G12" s="24" t="n">
        <x:v>63</x:v>
      </x:c>
      <x:c r="H12" s="24" t="n">
        <x:v>165.01</x:v>
      </x:c>
      <x:c r="I12" s="46" t="n">
        <x:f>'Viable itineraries'!R9</x:f>
        <x:v>291.01</x:v>
      </x:c>
      <x:c r="J12" s="46" t="n">
        <x:f>'Viable itineraries'!S9</x:f>
        <x:v>391.01</x:v>
      </x:c>
      <x:c r="K12" t="str">
        <x:v>Prior dated fare; timing recheck</x:v>
      </x:c>
      <x:c r="L12" t="str">
        <x:v>Good food, museums, rebuilt Old Town; five nights</x:v>
      </x:c>
    </x:row>
    <x:row r="13">
      <x:c r="A13" t="n">
        <x:v>4</x:v>
      </x:c>
      <x:c r="B13" s="22" t="str">
        <x:v>Kaunas</x:v>
      </x:c>
      <x:c r="C13" t="str">
        <x:v>17 Jan</x:v>
      </x:c>
      <x:c r="D13" t="str">
        <x:v>22 Jan</x:v>
      </x:c>
      <x:c r="E13" t="str">
        <x:v>EDI</x:v>
      </x:c>
      <x:c r="F13" t="n">
        <x:v>5</x:v>
      </x:c>
      <x:c r="G13" s="24" t="n">
        <x:v>71</x:v>
      </x:c>
      <x:c r="H13" s="24" t="n">
        <x:v>160.87</x:v>
      </x:c>
      <x:c r="I13" s="46" t="n">
        <x:f>'Viable itineraries'!R10</x:f>
        <x:v>302.87</x:v>
      </x:c>
      <x:c r="J13" s="46" t="n">
        <x:f>'Viable itineraries'!S10</x:f>
        <x:v>402.87</x:v>
      </x:c>
      <x:c r="K13" t="str">
        <x:v>Uploaded direct timetable</x:v>
      </x:c>
      <x:c r="L13" t="str">
        <x:v>Strong budget Baltic option; Vilnius rail link</x:v>
      </x:c>
    </x:row>
    <x:row r="14">
      <x:c r="A14" t="n">
        <x:v>5</x:v>
      </x:c>
      <x:c r="B14" s="22" t="str">
        <x:v>Gdańsk</x:v>
      </x:c>
      <x:c r="C14" t="str">
        <x:v>17 Jan</x:v>
      </x:c>
      <x:c r="D14" t="str">
        <x:v>22 Jan</x:v>
      </x:c>
      <x:c r="E14" t="str">
        <x:v>EDI</x:v>
      </x:c>
      <x:c r="F14" t="n">
        <x:v>5</x:v>
      </x:c>
      <x:c r="G14" s="24" t="n">
        <x:v>66</x:v>
      </x:c>
      <x:c r="H14" s="24" t="n">
        <x:v>175.21</x:v>
      </x:c>
      <x:c r="I14" s="46" t="n">
        <x:f>'Viable itineraries'!R11</x:f>
        <x:v>307.21</x:v>
      </x:c>
      <x:c r="J14" s="46" t="n">
        <x:f>'Viable itineraries'!S11</x:f>
        <x:v>407.21</x:v>
      </x:c>
      <x:c r="K14" t="str">
        <x:v>Prior dated fare; timing recheck</x:v>
      </x:c>
      <x:c r="L14" t="str">
        <x:v>Pretty Baltic riverside old town; connecting on priced example</x:v>
      </x:c>
    </x:row>
    <x:row r="15">
      <x:c r="A15" t="n">
        <x:v>6</x:v>
      </x:c>
      <x:c r="B15" s="22" t="str">
        <x:v>Kraków</x:v>
      </x:c>
      <x:c r="C15" t="str">
        <x:v>17 Jan</x:v>
      </x:c>
      <x:c r="D15" t="str">
        <x:v>22 Jan</x:v>
      </x:c>
      <x:c r="E15" t="str">
        <x:v>EDI</x:v>
      </x:c>
      <x:c r="F15" t="n">
        <x:v>5</x:v>
      </x:c>
      <x:c r="G15" s="24" t="n">
        <x:v>74</x:v>
      </x:c>
      <x:c r="H15" s="24" t="n">
        <x:v>162.19</x:v>
      </x:c>
      <x:c r="I15" s="46" t="n">
        <x:f>'Viable itineraries'!R12</x:f>
        <x:v>310.19</x:v>
      </x:c>
      <x:c r="J15" s="46" t="n">
        <x:f>'Viable itineraries'!S12</x:f>
        <x:v>410.19</x:v>
      </x:c>
      <x:c r="K15" t="str">
        <x:v>Prior dated fare; timing recheck</x:v>
      </x:c>
      <x:c r="L15" t="str">
        <x:v>Excellent Polish dining, Kazimierz, museums</x:v>
      </x:c>
    </x:row>
    <x:row r="16">
      <x:c r="A16" t="n">
        <x:v>7</x:v>
      </x:c>
      <x:c r="B16" s="22" t="str">
        <x:v>Vilnius via Kaunas</x:v>
      </x:c>
      <x:c r="C16" t="str">
        <x:v>18 Jan</x:v>
      </x:c>
      <x:c r="D16" t="str">
        <x:v>22 Jan</x:v>
      </x:c>
      <x:c r="E16" t="str">
        <x:v>EDI</x:v>
      </x:c>
      <x:c r="F16" t="n">
        <x:v>4</x:v>
      </x:c>
      <x:c r="G16" s="24" t="n">
        <x:v>77</x:v>
      </x:c>
      <x:c r="H16" s="24" t="n">
        <x:v>164.22</x:v>
      </x:c>
      <x:c r="I16" s="46" t="n">
        <x:f>'Viable itineraries'!R13</x:f>
        <x:v>318.22</x:v>
      </x:c>
      <x:c r="J16" s="46" t="n">
        <x:f>'Viable itineraries'!S13</x:f>
        <x:v>418.22</x:v>
      </x:c>
      <x:c r="K16" t="str">
        <x:v>Prior dated fare; timing recheck</x:v>
      </x:c>
      <x:c r="L16" t="str"/>
    </x:row>
    <x:row r="17">
      <x:c r="A17" t="n">
        <x:v>8</x:v>
      </x:c>
      <x:c r="B17" s="22" t="str">
        <x:v>Prague</x:v>
      </x:c>
      <x:c r="C17" t="str">
        <x:v>17 Jan</x:v>
      </x:c>
      <x:c r="D17" t="str">
        <x:v>22 Jan</x:v>
      </x:c>
      <x:c r="E17" t="str">
        <x:v>EDI</x:v>
      </x:c>
      <x:c r="F17" t="n">
        <x:v>5</x:v>
      </x:c>
      <x:c r="G17" s="24" t="n">
        <x:v>61</x:v>
      </x:c>
      <x:c r="H17" s="24" t="n">
        <x:v>198.89</x:v>
      </x:c>
      <x:c r="I17" s="46" t="n">
        <x:f>'Viable itineraries'!R14</x:f>
        <x:v>320.89</x:v>
      </x:c>
      <x:c r="J17" s="46" t="n">
        <x:f>'Viable itineraries'!S14</x:f>
        <x:v>420.89</x:v>
      </x:c>
      <x:c r="K17" t="str">
        <x:v>Prior dated fare; timing recheck</x:v>
      </x:c>
      <x:c r="L17" t="str">
        <x:v>Historic atmosphere and pubs; five nights</x:v>
      </x:c>
    </x:row>
    <x:row r="18">
      <x:c r="A18" t="n">
        <x:v>9</x:v>
      </x:c>
      <x:c r="B18" s="22" t="str">
        <x:v>Pisa / Florence base</x:v>
      </x:c>
      <x:c r="C18" t="str">
        <x:v>18 Jan</x:v>
      </x:c>
      <x:c r="D18" t="str">
        <x:v>22 Jan</x:v>
      </x:c>
      <x:c r="E18" t="str">
        <x:v>EDI</x:v>
      </x:c>
      <x:c r="F18" t="n">
        <x:v>4</x:v>
      </x:c>
      <x:c r="G18" s="24" t="n">
        <x:v>102</x:v>
      </x:c>
      <x:c r="H18" s="24" t="n">
        <x:v>165.86</x:v>
      </x:c>
      <x:c r="I18" s="46" t="n">
        <x:f>'Viable itineraries'!R15</x:f>
        <x:v>369.86</x:v>
      </x:c>
      <x:c r="J18" s="46" t="n">
        <x:f>'Viable itineraries'!S15</x:f>
        <x:v>469.86</x:v>
      </x:c>
      <x:c r="K18" t="str">
        <x:v>Prior dated fare; timing recheck</x:v>
      </x:c>
      <x:c r="L18" t="str">
        <x:v>Pisa plus Florence by rail; connecting flights</x:v>
      </x:c>
    </x:row>
    <x:row r="19">
      <x:c r="A19" t="n">
        <x:v>10</x:v>
      </x:c>
      <x:c r="B19" s="22" t="str">
        <x:v>Berlin</x:v>
      </x:c>
      <x:c r="C19" t="str">
        <x:v>18 Jan</x:v>
      </x:c>
      <x:c r="D19" t="str">
        <x:v>22 Jan</x:v>
      </x:c>
      <x:c r="E19" t="str">
        <x:v>EDI</x:v>
      </x:c>
      <x:c r="F19" t="n">
        <x:v>4</x:v>
      </x:c>
      <x:c r="G19" s="24" t="n">
        <x:v>80</x:v>
      </x:c>
      <x:c r="H19" s="24" t="n">
        <x:v>210.76</x:v>
      </x:c>
      <x:c r="I19" s="46" t="n">
        <x:f>'Viable itineraries'!R16</x:f>
        <x:v>370.76</x:v>
      </x:c>
      <x:c r="J19" s="46" t="n">
        <x:f>'Viable itineraries'!S16</x:f>
        <x:v>470.76</x:v>
      </x:c>
      <x:c r="K19" t="str">
        <x:v>Prior dated fare; timing recheck</x:v>
      </x:c>
      <x:c r="L19" t="str">
        <x:v>Museums/food/nightlife; previous Berlin trip in November</x:v>
      </x:c>
    </x:row>
    <x:row r="20">
      <x:c r="A20" t="n">
        <x:v>11</x:v>
      </x:c>
      <x:c r="B20" s="22" t="str">
        <x:v>Copenhagen</x:v>
      </x:c>
      <x:c r="C20" t="str">
        <x:v>18 Jan</x:v>
      </x:c>
      <x:c r="D20" t="str">
        <x:v>22 Jan</x:v>
      </x:c>
      <x:c r="E20" t="str">
        <x:v>EDI</x:v>
      </x:c>
      <x:c r="F20" t="n">
        <x:v>4</x:v>
      </x:c>
      <x:c r="G20" s="24" t="n">
        <x:v>46</x:v>
      </x:c>
      <x:c r="H20" s="24" t="n">
        <x:v>302.21</x:v>
      </x:c>
      <x:c r="I20" s="46" t="n">
        <x:f>'Viable itineraries'!R17</x:f>
        <x:v>394.21</x:v>
      </x:c>
      <x:c r="J20" s="46" t="n">
        <x:f>'Viable itineraries'!S17</x:f>
        <x:v>494.21</x:v>
      </x:c>
      <x:c r="K20" t="str">
        <x:v>Uploaded direct timetable</x:v>
      </x:c>
      <x:c r="L20" t="str">
        <x:v>Excellent cafés and design; high daily spending</x:v>
      </x:c>
    </x:row>
    <x:row r="21">
      <x:c r="A21" t="n">
        <x:v>12</x:v>
      </x:c>
      <x:c r="B21" s="22" t="str">
        <x:v>Tallinn</x:v>
      </x:c>
      <x:c r="C21" t="str">
        <x:v>17 Jan</x:v>
      </x:c>
      <x:c r="D21" t="str">
        <x:v>22 Jan</x:v>
      </x:c>
      <x:c r="E21" t="str">
        <x:v>EDI</x:v>
      </x:c>
      <x:c r="F21" t="n">
        <x:v>5</x:v>
      </x:c>
      <x:c r="G21" s="24" t="n">
        <x:v>115</x:v>
      </x:c>
      <x:c r="H21" s="24" t="n">
        <x:v>191.09</x:v>
      </x:c>
      <x:c r="I21" s="46" t="n">
        <x:f>'Viable itineraries'!R18</x:f>
        <x:v>421.09</x:v>
      </x:c>
      <x:c r="J21" s="46" t="n">
        <x:f>'Viable itineraries'!S18</x:f>
        <x:v>521.09</x:v>
      </x:c>
      <x:c r="K21" t="str">
        <x:v>Prior dated fare; timing recheck</x:v>
      </x:c>
      <x:c r="L21" t="str">
        <x:v>Mediaeval old town, cafés and winter atmosphere; connecting flights</x:v>
      </x:c>
    </x:row>
    <x:row r="22">
      <x:c r="A22" t="n">
        <x:v>13</x:v>
      </x:c>
      <x:c r="B22" s="22" t="str">
        <x:v>Paris via Beauvais</x:v>
      </x:c>
      <x:c r="C22" t="str">
        <x:v>18 Jan</x:v>
      </x:c>
      <x:c r="D22" t="str">
        <x:v>22 Jan</x:v>
      </x:c>
      <x:c r="E22" t="str">
        <x:v>EDI</x:v>
      </x:c>
      <x:c r="F22" t="n">
        <x:v>4</x:v>
      </x:c>
      <x:c r="G22" s="24" t="n">
        <x:v>55</x:v>
      </x:c>
      <x:c r="H22" s="24" t="n">
        <x:v>320.06</x:v>
      </x:c>
      <x:c r="I22" s="46" t="n">
        <x:f>'Viable itineraries'!R19</x:f>
        <x:v>430.06</x:v>
      </x:c>
      <x:c r="J22" s="46" t="n">
        <x:f>'Viable itineraries'!S19</x:f>
        <x:v>530.06</x:v>
      </x:c>
      <x:c r="K22" t="str">
        <x:v>Prior dated fare; timing recheck</x:v>
      </x:c>
      <x:c r="L22" t="str"/>
    </x:row>
    <x:row r="23">
      <x:c r="A23" t="n">
        <x:v>14</x:v>
      </x:c>
      <x:c r="B23" s="22" t="str">
        <x:v>Málaga</x:v>
      </x:c>
      <x:c r="C23" t="str">
        <x:v>17 Jan</x:v>
      </x:c>
      <x:c r="D23" t="str">
        <x:v>22 Jan</x:v>
      </x:c>
      <x:c r="E23" t="str">
        <x:v>GLA</x:v>
      </x:c>
      <x:c r="F23" t="n">
        <x:v>5</x:v>
      </x:c>
      <x:c r="G23" s="24" t="n">
        <x:v>66</x:v>
      </x:c>
      <x:c r="H23" s="24" t="n">
        <x:v>319.89</x:v>
      </x:c>
      <x:c r="I23" s="46" t="n">
        <x:f>'Viable itineraries'!R20</x:f>
        <x:v>451.89</x:v>
      </x:c>
      <x:c r="J23" s="46" t="n">
        <x:f>'Viable itineraries'!S20</x:f>
        <x:v>551.89</x:v>
      </x:c>
      <x:c r="K23" t="str">
        <x:v>Prior dated fare; timing recheck</x:v>
      </x:c>
      <x:c r="L23" t="str">
        <x:v>Warmest city option; seafood, museums and tapas</x:v>
      </x:c>
    </x:row>
    <x:row r="24">
      <x:c r="A24" t="n">
        <x:v>15</x:v>
      </x:c>
      <x:c r="B24" s="22" t="str">
        <x:v>Munich</x:v>
      </x:c>
      <x:c r="C24" t="str">
        <x:v>17 Jan</x:v>
      </x:c>
      <x:c r="D24" t="str">
        <x:v>21 Jan</x:v>
      </x:c>
      <x:c r="E24" t="str">
        <x:v>EDI</x:v>
      </x:c>
      <x:c r="F24" t="n">
        <x:v>4</x:v>
      </x:c>
      <x:c r="G24" s="24" t="n">
        <x:v>100</x:v>
      </x:c>
      <x:c r="H24" s="24" t="n">
        <x:v>258.9</x:v>
      </x:c>
      <x:c r="I24" s="46" t="n">
        <x:f>'Viable itineraries'!R21</x:f>
        <x:v>458.9</x:v>
      </x:c>
      <x:c r="J24" s="46" t="n">
        <x:f>'Viable itineraries'!S21</x:f>
        <x:v>558.9</x:v>
      </x:c>
      <x:c r="K24" t="str">
        <x:v>Prior dated fare; timing recheck</x:v>
      </x:c>
      <x:c r="L24" t="str">
        <x:v>Beer halls, historic city; Alpine day-trips</x:v>
      </x:c>
    </x:row>
    <x:row r="25">
      <x:c r="A25" t="n">
        <x:v>16</x:v>
      </x:c>
      <x:c r="B25" s="22" t="str">
        <x:v>Paphos</x:v>
      </x:c>
      <x:c r="C25" t="str">
        <x:v>18 Jan</x:v>
      </x:c>
      <x:c r="D25" t="str">
        <x:v>22 Jan</x:v>
      </x:c>
      <x:c r="E25" t="str">
        <x:v>EDI</x:v>
      </x:c>
      <x:c r="F25" t="n">
        <x:v>4</x:v>
      </x:c>
      <x:c r="G25" s="24" t="n">
        <x:v>129</x:v>
      </x:c>
      <x:c r="H25" s="24" t="n">
        <x:v>209.03</x:v>
      </x:c>
      <x:c r="I25" s="46" t="n">
        <x:f>'Viable itineraries'!R22</x:f>
        <x:v>467.03</x:v>
      </x:c>
      <x:c r="J25" s="46" t="n">
        <x:f>'Viable itineraries'!S22</x:f>
        <x:v>567.03</x:v>
      </x:c>
      <x:c r="K25" t="str">
        <x:v>Prior dated fare; timing recheck</x:v>
      </x:c>
      <x:c r="L25" t="str">
        <x:v>Antiquity, archaeology and mild coastal winter</x:v>
      </x:c>
    </x:row>
    <x:row r="26">
      <x:c r="A26" t="n">
        <x:v>17</x:v>
      </x:c>
      <x:c r="B26" s="22" t="str">
        <x:v>Tenerife South</x:v>
      </x:c>
      <x:c r="C26" t="str">
        <x:v>18 Jan</x:v>
      </x:c>
      <x:c r="D26" t="str">
        <x:v>22 Jan</x:v>
      </x:c>
      <x:c r="E26" t="str">
        <x:v>EDI</x:v>
      </x:c>
      <x:c r="F26" t="n">
        <x:v>4</x:v>
      </x:c>
      <x:c r="G26" s="24" t="n">
        <x:v>71</x:v>
      </x:c>
      <x:c r="H26" s="24" t="n">
        <x:v>350.22</x:v>
      </x:c>
      <x:c r="I26" s="46" t="n">
        <x:f>'Viable itineraries'!R23</x:f>
        <x:v>492.22</x:v>
      </x:c>
      <x:c r="J26" s="46" t="n">
        <x:f>'Viable itineraries'!S23</x:f>
        <x:v>592.22</x:v>
      </x:c>
      <x:c r="K26" t="str">
        <x:v>Uploaded direct timetable</x:v>
      </x:c>
      <x:c r="L26" t="str">
        <x:v>Reliable sun, hiking; resorts cost more and car/transfer may help</x:v>
      </x:c>
    </x:row>
    <x:row r="27">
      <x:c r="A27" t="n">
        <x:v>18</x:v>
      </x:c>
      <x:c r="B27" s="22" t="str">
        <x:v>Rome</x:v>
      </x:c>
      <x:c r="C27" t="str">
        <x:v>17 Jan</x:v>
      </x:c>
      <x:c r="D27" t="str">
        <x:v>21 Jan</x:v>
      </x:c>
      <x:c r="E27" t="str">
        <x:v>EDI</x:v>
      </x:c>
      <x:c r="F27" t="n">
        <x:v>4</x:v>
      </x:c>
      <x:c r="G27" s="24" t="n">
        <x:v>106</x:v>
      </x:c>
      <x:c r="H27" s="24" t="n">
        <x:v>281.52</x:v>
      </x:c>
      <x:c r="I27" s="46" t="n">
        <x:f>'Viable itineraries'!R24</x:f>
        <x:v>493.52</x:v>
      </x:c>
      <x:c r="J27" s="46" t="n">
        <x:f>'Viable itineraries'!S24</x:f>
        <x:v>593.52</x:v>
      </x:c>
      <x:c r="K27" t="str">
        <x:v>Prior dated fare; timing recheck</x:v>
      </x:c>
      <x:c r="L27" t="str">
        <x:v>Classical archaeology; winter is less busy</x:v>
      </x:c>
    </x:row>
    <x:row r="28">
      <x:c r="A28" t="n">
        <x:v>19</x:v>
      </x:c>
      <x:c r="B28" s="22" t="str">
        <x:v>Porto</x:v>
      </x:c>
      <x:c r="C28" t="str">
        <x:v>18 Jan</x:v>
      </x:c>
      <x:c r="D28" t="str">
        <x:v>22 Jan</x:v>
      </x:c>
      <x:c r="E28" t="str">
        <x:v>EDI</x:v>
      </x:c>
      <x:c r="F28" t="n">
        <x:v>4</x:v>
      </x:c>
      <x:c r="G28" s="24" t="n">
        <x:v>186</x:v>
      </x:c>
      <x:c r="H28" s="24" t="n">
        <x:v>155.09</x:v>
      </x:c>
      <x:c r="I28" s="46" t="n">
        <x:f>'Viable itineraries'!R25</x:f>
        <x:v>527.09</x:v>
      </x:c>
      <x:c r="J28" s="46" t="n">
        <x:f>'Viable itineraries'!S25</x:f>
        <x:v>627.09</x:v>
      </x:c>
      <x:c r="K28" t="str">
        <x:v>Prior dated fare; timing recheck</x:v>
      </x:c>
      <x:c r="L28" t="str">
        <x:v>Food and architecture; connecting flights and winter rain</x:v>
      </x:c>
    </x:row>
    <x:row r="29">
      <x:c r="A29" t="n">
        <x:v>20</x:v>
      </x:c>
      <x:c r="B29" s="22" t="str">
        <x:v>Luxembourg City</x:v>
      </x:c>
      <x:c r="C29" t="str">
        <x:v>18 Jan</x:v>
      </x:c>
      <x:c r="D29" t="str">
        <x:v>22 Jan</x:v>
      </x:c>
      <x:c r="E29" t="str">
        <x:v>EDI</x:v>
      </x:c>
      <x:c r="F29" t="n">
        <x:v>4</x:v>
      </x:c>
      <x:c r="G29" s="24" t="n">
        <x:v>99</x:v>
      </x:c>
      <x:c r="H29" s="24" t="n">
        <x:v>368.66</x:v>
      </x:c>
      <x:c r="I29" s="46" t="n">
        <x:f>'Viable itineraries'!R26</x:f>
        <x:v>566.66</x:v>
      </x:c>
      <x:c r="J29" s="46" t="n">
        <x:f>'Viable itineraries'!S26</x:f>
        <x:v>666.66</x:v>
      </x:c>
      <x:c r="K29" t="str">
        <x:v>Prior dated fare; timing recheck</x:v>
      </x:c>
      <x:c r="L29" t="str">
        <x:v>Interesting fortifications and free public transport; expensive hotels</x:v>
      </x:c>
    </x:row>
    <x:row r="32" ht="25" customHeight="1">
      <x:c r="A32" s="43" t="str">
        <x:v>DIRECT-FLIGHT OPTIONS WITH A HOTEL QUOTE • FARE NOT YET VERIFIED</x:v>
      </x:c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37" customHeight="1">
      <x:c r="A33" s="17" t="str">
        <x:v>Destination</x:v>
      </x:c>
      <x:c r="B33" s="17" t="str">
        <x:v>Dates</x:v>
      </x:c>
      <x:c r="C33" s="17" t="str">
        <x:v>Origin</x:v>
      </x:c>
      <x:c r="D33" s="17" t="str">
        <x:v>Flight out</x:v>
      </x:c>
      <x:c r="E33" s="17" t="str">
        <x:v>Arrive there</x:v>
      </x:c>
      <x:c r="F33" s="17" t="str">
        <x:v>Return from there</x:v>
      </x:c>
      <x:c r="G33" s="17" t="str">
        <x:v>Arrive UK</x:v>
      </x:c>
      <x:c r="H33" s="17" t="str">
        <x:v>Ground hours</x:v>
      </x:c>
      <x:c r="I33" s="17" t="str">
        <x:v>Hotel / 2</x:v>
      </x:c>
      <x:c r="J33" s="17" t="str">
        <x:v>Review</x:v>
      </x:c>
      <x:c r="K33" s="17" t="str">
        <x:v>Suggested hotel</x:v>
      </x:c>
      <x:c r="L33" s="17" t="str">
        <x:v>Comment</x:v>
      </x:c>
    </x:row>
    <x:row r="34" ht="24" customHeight="1">
      <x:c r="A34" s="22" t="str">
        <x:v>Paris CDG</x:v>
      </x:c>
      <x:c r="B34" t="str">
        <x:v>17–22 Jan</x:v>
      </x:c>
      <x:c r="C34" t="str">
        <x:v>GLA</x:v>
      </x:c>
      <x:c r="D34" t="str">
        <x:v>07:00</x:v>
      </x:c>
      <x:c r="E34" t="str">
        <x:v>09:55</x:v>
      </x:c>
      <x:c r="F34" t="str">
        <x:v>19:40</x:v>
      </x:c>
      <x:c r="G34" t="str">
        <x:v>20:30</x:v>
      </x:c>
      <x:c r="H34" s="26" t="n">
        <x:v>129.8</x:v>
      </x:c>
      <x:c r="I34" s="24" t="n">
        <x:v>366.56</x:v>
      </x:c>
      <x:c r="J34" t="n">
        <x:v>7.8</x:v>
      </x:c>
      <x:c r="K34" t="str">
        <x:v>Appart'City Classic Paris La Villette</x:v>
      </x:c>
      <x:c r="L34" t="str">
        <x:v>Museums and neighbourhoods; hotel and dining costs higher</x:v>
      </x:c>
    </x:row>
    <x:row r="35" ht="24" customHeight="1">
      <x:c r="A35" s="22" t="str">
        <x:v>Poznań</x:v>
      </x:c>
      <x:c r="B35" t="str">
        <x:v>17–22 Jan</x:v>
      </x:c>
      <x:c r="C35" t="str">
        <x:v>EDI</x:v>
      </x:c>
      <x:c r="D35" t="str">
        <x:v>06:25</x:v>
      </x:c>
      <x:c r="E35" t="str">
        <x:v>09:45</x:v>
      </x:c>
      <x:c r="F35" t="str">
        <x:v>17:50</x:v>
      </x:c>
      <x:c r="G35" t="str">
        <x:v>19:20</x:v>
      </x:c>
      <x:c r="H35" s="26" t="n">
        <x:v>128.1</x:v>
      </x:c>
      <x:c r="I35" s="24" t="n">
        <x:v>160.85</x:v>
      </x:c>
      <x:c r="J35" t="n">
        <x:v>9.6</x:v>
      </x:c>
      <x:c r="K35" t="str">
        <x:v>Central Rail &amp; Old Town Apartments</x:v>
      </x:c>
      <x:c r="L35" t="str">
        <x:v>Affordable Old Town, cafés, excellent heritage accommodation</x:v>
      </x:c>
    </x:row>
    <x:row r="36" ht="24" customHeight="1">
      <x:c r="A36" s="22" t="str">
        <x:v>Amsterdam</x:v>
      </x:c>
      <x:c r="B36" t="str">
        <x:v>17–22 Jan</x:v>
      </x:c>
      <x:c r="C36" t="str">
        <x:v>GLA</x:v>
      </x:c>
      <x:c r="D36" t="str">
        <x:v>05:40</x:v>
      </x:c>
      <x:c r="E36" t="str">
        <x:v>08:20</x:v>
      </x:c>
      <x:c r="F36" t="str">
        <x:v>16:00</x:v>
      </x:c>
      <x:c r="G36" t="str">
        <x:v>16:30</x:v>
      </x:c>
      <x:c r="H36" s="26" t="n">
        <x:v>127.7</x:v>
      </x:c>
      <x:c r="I36" s="24" t="n">
        <x:v>327.66</x:v>
      </x:c>
      <x:c r="J36" t="n">
        <x:v>8.8</x:v>
      </x:c>
      <x:c r="K36" t="str">
        <x:v>Hotel2Stay</x:v>
      </x:c>
      <x:c r="L36" t="str">
        <x:v>Museums, canals and cosy brown cafés; pricier daily spend</x:v>
      </x:c>
    </x:row>
    <x:row r="37" ht="24" customHeight="1">
      <x:c r="A37" s="22" t="str">
        <x:v>Madrid</x:v>
      </x:c>
      <x:c r="B37" t="str">
        <x:v>17–22 Jan</x:v>
      </x:c>
      <x:c r="C37" t="str">
        <x:v>EDI</x:v>
      </x:c>
      <x:c r="D37" t="str">
        <x:v>08:25</x:v>
      </x:c>
      <x:c r="E37" t="str">
        <x:v>12:20</x:v>
      </x:c>
      <x:c r="F37" t="str">
        <x:v>18:45</x:v>
      </x:c>
      <x:c r="G37" t="str">
        <x:v>20:45</x:v>
      </x:c>
      <x:c r="H37" s="26" t="n">
        <x:v>126.4</x:v>
      </x:c>
      <x:c r="I37" s="24" t="n">
        <x:v>350.14</x:v>
      </x:c>
      <x:c r="J37" t="n">
        <x:v>8</x:v>
      </x:c>
      <x:c r="K37" t="str">
        <x:v>Dobo Madrid Palos</x:v>
      </x:c>
      <x:c r="L37" t="str">
        <x:v>Outstanding art museums and food; good winter city</x:v>
      </x:c>
    </x:row>
    <x:row r="38" ht="24" customHeight="1">
      <x:c r="A38" s="22" t="str">
        <x:v>Geneva</x:v>
      </x:c>
      <x:c r="B38" t="str">
        <x:v>17–22 Jan</x:v>
      </x:c>
      <x:c r="C38" t="str">
        <x:v>EDI</x:v>
      </x:c>
      <x:c r="D38" t="str">
        <x:v>06:55</x:v>
      </x:c>
      <x:c r="E38" t="str">
        <x:v>10:10</x:v>
      </x:c>
      <x:c r="F38" t="str">
        <x:v>13:50</x:v>
      </x:c>
      <x:c r="G38" t="str">
        <x:v>15:10</x:v>
      </x:c>
      <x:c r="H38" s="26" t="n">
        <x:v>123.7</x:v>
      </x:c>
      <x:c r="I38" s="24" t="n">
        <x:v>465.69</x:v>
      </x:c>
      <x:c r="J38" t="n">
        <x:v>8.4</x:v>
      </x:c>
      <x:c r="K38" t="str">
        <x:v>Noirettes 20 - Self Check In</x:v>
      </x:c>
      <x:c r="L38" t="str">
        <x:v>Lakefront and Alpine day-trips; expensive</x:v>
      </x:c>
    </x:row>
    <x:row r="39" ht="24" customHeight="1">
      <x:c r="A39" s="22" t="str">
        <x:v>Lanzarote</x:v>
      </x:c>
      <x:c r="B39" t="str">
        <x:v>17–22 Jan</x:v>
      </x:c>
      <x:c r="C39" t="str">
        <x:v>GLA</x:v>
      </x:c>
      <x:c r="D39" t="str">
        <x:v>07:30</x:v>
      </x:c>
      <x:c r="E39" t="str">
        <x:v>12:00</x:v>
      </x:c>
      <x:c r="F39" t="str">
        <x:v>15:10</x:v>
      </x:c>
      <x:c r="G39" t="str">
        <x:v>19:45</x:v>
      </x:c>
      <x:c r="H39" s="26" t="n">
        <x:v>123.2</x:v>
      </x:c>
      <x:c r="I39" s="24" t="n">
        <x:v>356.09</x:v>
      </x:c>
      <x:c r="J39" t="n">
        <x:v>9.4</x:v>
      </x:c>
      <x:c r="K39" t="str">
        <x:v>Apartamento Tierra y Mar 1</x:v>
      </x:c>
      <x:c r="L39" t="str">
        <x:v>Volcanic landscapes, sun; car helps explore</x:v>
      </x:c>
    </x:row>
    <x:row r="40" ht="24" customHeight="1">
      <x:c r="A40" s="22" t="str">
        <x:v>Alicante</x:v>
      </x:c>
      <x:c r="B40" t="str">
        <x:v>17–22 Jan</x:v>
      </x:c>
      <x:c r="C40" t="str">
        <x:v>GLA</x:v>
      </x:c>
      <x:c r="D40" t="str">
        <x:v>06:15</x:v>
      </x:c>
      <x:c r="E40" t="str">
        <x:v>10:30</x:v>
      </x:c>
      <x:c r="F40" t="str">
        <x:v>13:20</x:v>
      </x:c>
      <x:c r="G40" t="str">
        <x:v>15:30</x:v>
      </x:c>
      <x:c r="H40" s="26" t="n">
        <x:v>122.8</x:v>
      </x:c>
      <x:c r="I40" s="24" t="n">
        <x:v>380.85</x:v>
      </x:c>
      <x:c r="J40" t="n">
        <x:v>9.4</x:v>
      </x:c>
      <x:c r="K40" t="str">
        <x:v>Arenal Suites Alicante</x:v>
      </x:c>
      <x:c r="L40" t="str">
        <x:v>Mild coast and waterfront; good restaurants</x:v>
      </x:c>
    </x:row>
    <x:row r="41" ht="24" customHeight="1">
      <x:c r="A41" s="22" t="str">
        <x:v>Tenerife South</x:v>
      </x:c>
      <x:c r="B41" t="str">
        <x:v>17–22 Jan</x:v>
      </x:c>
      <x:c r="C41" t="str">
        <x:v>EDI</x:v>
      </x:c>
      <x:c r="D41" t="str">
        <x:v>06:05</x:v>
      </x:c>
      <x:c r="E41" t="str">
        <x:v>10:55</x:v>
      </x:c>
      <x:c r="F41" t="str">
        <x:v>13:25</x:v>
      </x:c>
      <x:c r="G41" t="str">
        <x:v>18:20</x:v>
      </x:c>
      <x:c r="H41" s="26" t="n">
        <x:v>122.5</x:v>
      </x:c>
      <x:c r="I41" s="24" t="n">
        <x:v>481.77</x:v>
      </x:c>
      <x:c r="J41" t="n">
        <x:v>7.7</x:v>
      </x:c>
      <x:c r="K41" t="str">
        <x:v>Kn Aparthotel Columbus (Playa Americas)</x:v>
      </x:c>
      <x:c r="L41" t="str">
        <x:v>Reliable sun, hiking; resorts cost more and car/transfer may help</x:v>
      </x:c>
    </x:row>
    <x:row r="42" ht="24" customHeight="1">
      <x:c r="A42" s="22" t="str">
        <x:v>Brussels Charleroi</x:v>
      </x:c>
      <x:c r="B42" t="str">
        <x:v>17–22 Jan</x:v>
      </x:c>
      <x:c r="C42" t="str">
        <x:v>EDI</x:v>
      </x:c>
      <x:c r="D42" t="str">
        <x:v>11:50</x:v>
      </x:c>
      <x:c r="E42" t="str">
        <x:v>14:35</x:v>
      </x:c>
      <x:c r="F42" t="str">
        <x:v>16:15</x:v>
      </x:c>
      <x:c r="G42" t="str">
        <x:v>16:55</x:v>
      </x:c>
      <x:c r="H42" s="26" t="n">
        <x:v>121.7</x:v>
      </x:c>
      <x:c r="I42" s="24" t="n">
        <x:v>378.42</x:v>
      </x:c>
      <x:c r="J42" t="n">
        <x:v>8.8</x:v>
      </x:c>
      <x:c r="K42" t="str">
        <x:v>Lovely condo next to European Area (Brussels)</x:v>
      </x:c>
      <x:c r="L42" t="str">
        <x:v>Use Brussels/Bruges/Ghent; Charleroi transfer adds time/cost</x:v>
      </x:c>
    </x:row>
    <x:row r="43" ht="24" customHeight="1">
      <x:c r="A43" s="22" t="str">
        <x:v>Amsterdam</x:v>
      </x:c>
      <x:c r="B43" t="str">
        <x:v>18–22 Jan</x:v>
      </x:c>
      <x:c r="C43" t="str">
        <x:v>GLA</x:v>
      </x:c>
      <x:c r="D43" t="str">
        <x:v>05:40</x:v>
      </x:c>
      <x:c r="E43" t="str">
        <x:v>08:20</x:v>
      </x:c>
      <x:c r="F43" t="str">
        <x:v>16:00</x:v>
      </x:c>
      <x:c r="G43" t="str">
        <x:v>16:30</x:v>
      </x:c>
      <x:c r="H43" s="26" t="n">
        <x:v>103.7</x:v>
      </x:c>
      <x:c r="I43" s="24" t="n">
        <x:v>267.15</x:v>
      </x:c>
      <x:c r="J43" t="n">
        <x:v>8.8</x:v>
      </x:c>
      <x:c r="K43" t="str">
        <x:v>Hotel2Stay</x:v>
      </x:c>
      <x:c r="L43" t="str">
        <x:v>Museums, canals and cosy brown cafés; pricier daily spend</x:v>
      </x:c>
    </x:row>
    <x:row r="44" ht="24" customHeight="1">
      <x:c r="A44" s="22" t="str">
        <x:v>Zurich</x:v>
      </x:c>
      <x:c r="B44" t="str">
        <x:v>18–22 Jan</x:v>
      </x:c>
      <x:c r="C44" t="str">
        <x:v>EDI</x:v>
      </x:c>
      <x:c r="D44" t="str">
        <x:v>07:40</x:v>
      </x:c>
      <x:c r="E44" t="str">
        <x:v>10:55</x:v>
      </x:c>
      <x:c r="F44" t="str">
        <x:v>17:45</x:v>
      </x:c>
      <x:c r="G44" t="str">
        <x:v>19:10</x:v>
      </x:c>
      <x:c r="H44" s="26" t="n">
        <x:v>102.8</x:v>
      </x:c>
      <x:c r="I44" s="24" t="n">
        <x:v>395.53</x:v>
      </x:c>
      <x:c r="J44" t="n">
        <x:v>8.3</x:v>
      </x:c>
      <x:c r="K44" t="str">
        <x:v>City Pop 2Night Zürich City</x:v>
      </x:c>
      <x:c r="L44" t="str">
        <x:v>Scenic city and mountains; very costly</x:v>
      </x:c>
    </x:row>
    <x:row r="45" ht="24" customHeight="1">
      <x:c r="A45" s="22" t="str">
        <x:v>Venice</x:v>
      </x:c>
      <x:c r="B45" t="str">
        <x:v>18–22 Jan</x:v>
      </x:c>
      <x:c r="C45" t="str">
        <x:v>EDI</x:v>
      </x:c>
      <x:c r="D45" t="str">
        <x:v>07:40</x:v>
      </x:c>
      <x:c r="E45" t="str">
        <x:v>11:15</x:v>
      </x:c>
      <x:c r="F45" t="str">
        <x:v>17:10</x:v>
      </x:c>
      <x:c r="G45" t="str">
        <x:v>18:55</x:v>
      </x:c>
      <x:c r="H45" s="26" t="n">
        <x:v>101.9</x:v>
      </x:c>
      <x:c r="I45" s="24" t="n">
        <x:v>262.92</x:v>
      </x:c>
      <x:c r="J45" t="n">
        <x:v>8.7</x:v>
      </x:c>
      <x:c r="K45" t="str">
        <x:v>Albergo Marin</x:v>
      </x:c>
      <x:c r="L45" t="str">
        <x:v>Uncrowded winter lanes and canals; possible acqua alta</x:v>
      </x:c>
    </x:row>
    <x:row r="46" ht="24" customHeight="1">
      <x:c r="A46" s="22" t="str">
        <x:v>Brussels Charleroi</x:v>
      </x:c>
      <x:c r="B46" t="str">
        <x:v>18–22 Jan</x:v>
      </x:c>
      <x:c r="C46" t="str">
        <x:v>EDI</x:v>
      </x:c>
      <x:c r="D46" t="str">
        <x:v>07:35</x:v>
      </x:c>
      <x:c r="E46" t="str">
        <x:v>10:20</x:v>
      </x:c>
      <x:c r="F46" t="str">
        <x:v>16:15</x:v>
      </x:c>
      <x:c r="G46" t="str">
        <x:v>16:55</x:v>
      </x:c>
      <x:c r="H46" s="26" t="n">
        <x:v>101.9</x:v>
      </x:c>
      <x:c r="I46" s="24" t="n">
        <x:v>309.44</x:v>
      </x:c>
      <x:c r="J46" t="n">
        <x:v>8.8</x:v>
      </x:c>
      <x:c r="K46" t="str">
        <x:v>Lovely condo next to European Area (Brussels)</x:v>
      </x:c>
      <x:c r="L46" t="str">
        <x:v>Use Brussels/Bruges/Ghent; Charleroi transfer adds time/cost</x:v>
      </x:c>
    </x:row>
    <x:row r="47" ht="24" customHeight="1">
      <x:c r="A47" s="22" t="str">
        <x:v>Kraków</x:v>
      </x:c>
      <x:c r="B47" t="str">
        <x:v>18–22 Jan</x:v>
      </x:c>
      <x:c r="C47" t="str">
        <x:v>GLA</x:v>
      </x:c>
      <x:c r="D47" t="str">
        <x:v>08:35</x:v>
      </x:c>
      <x:c r="E47" t="str">
        <x:v>12:20</x:v>
      </x:c>
      <x:c r="F47" t="str">
        <x:v>18:00</x:v>
      </x:c>
      <x:c r="G47" t="str">
        <x:v>20:00</x:v>
      </x:c>
      <x:c r="H47" s="26" t="n">
        <x:v>101.7</x:v>
      </x:c>
      <x:c r="I47" s="24" t="n">
        <x:v>129.75</x:v>
      </x:c>
      <x:c r="J47" t="n">
        <x:v>9.2</x:v>
      </x:c>
      <x:c r="K47" t="str">
        <x:v>Hugo Star Apartments</x:v>
      </x:c>
      <x:c r="L47" t="str">
        <x:v>Excellent Polish dining, Kazimierz, museums</x:v>
      </x:c>
    </x:row>
    <x:row r="48" ht="24" customHeight="1">
      <x:c r="A48" s="22" t="str">
        <x:v>Paris CDG</x:v>
      </x:c>
      <x:c r="B48" t="str">
        <x:v>18–22 Jan</x:v>
      </x:c>
      <x:c r="C48" t="str">
        <x:v>EDI</x:v>
      </x:c>
      <x:c r="D48" t="str">
        <x:v>05:50</x:v>
      </x:c>
      <x:c r="E48" t="str">
        <x:v>08:50</x:v>
      </x:c>
      <x:c r="F48" t="str">
        <x:v>14:25</x:v>
      </x:c>
      <x:c r="G48" t="str">
        <x:v>15:15</x:v>
      </x:c>
      <x:c r="H48" s="26" t="n">
        <x:v>101.6</x:v>
      </x:c>
      <x:c r="I48" s="24" t="n">
        <x:v>404.05</x:v>
      </x:c>
      <x:c r="J48" t="n">
        <x:v>8.2</x:v>
      </x:c>
      <x:c r="K48" t="str">
        <x:v>Hôtel Sophie Germain</x:v>
      </x:c>
      <x:c r="L48" t="str">
        <x:v>Museums and neighbourhoods; hotel and dining costs higher</x:v>
      </x:c>
    </x:row>
    <x:row r="49" ht="24" customHeight="1">
      <x:c r="A49" s="22" t="str">
        <x:v>Barcelona</x:v>
      </x:c>
      <x:c r="B49" t="str">
        <x:v>17–21 Jan</x:v>
      </x:c>
      <x:c r="C49" t="str">
        <x:v>EDI</x:v>
      </x:c>
      <x:c r="D49" t="str">
        <x:v>08:15</x:v>
      </x:c>
      <x:c r="E49" t="str">
        <x:v>11:55</x:v>
      </x:c>
      <x:c r="F49" t="str">
        <x:v>17:25</x:v>
      </x:c>
      <x:c r="G49" t="str">
        <x:v>19:20</x:v>
      </x:c>
      <x:c r="H49" s="26" t="n">
        <x:v>101.5</x:v>
      </x:c>
      <x:c r="I49" s="24" t="n">
        <x:v>300.76</x:v>
      </x:c>
      <x:c r="J49" t="n">
        <x:v>8.8</x:v>
      </x:c>
      <x:c r="K49" t="str">
        <x:v>Hostal la Palmera</x:v>
      </x:c>
      <x:c r="L49" t="str">
        <x:v>Gaudí, food markets, architecture; winter sightseeing</x:v>
      </x:c>
    </x:row>
    <x:row r="50" ht="24" customHeight="1">
      <x:c r="A50" s="22" t="str">
        <x:v>Santander</x:v>
      </x:c>
      <x:c r="B50" t="str">
        <x:v>17–21 Jan</x:v>
      </x:c>
      <x:c r="C50" t="str">
        <x:v>EDI</x:v>
      </x:c>
      <x:c r="D50" t="str">
        <x:v>06:15</x:v>
      </x:c>
      <x:c r="E50" t="str">
        <x:v>09:40</x:v>
      </x:c>
      <x:c r="F50" t="str">
        <x:v>14:35</x:v>
      </x:c>
      <x:c r="G50" t="str">
        <x:v>15:55</x:v>
      </x:c>
      <x:c r="H50" s="26" t="n">
        <x:v>100.9</x:v>
      </x:c>
      <x:c r="I50" s="24" t="n">
        <x:v>167.57</x:v>
      </x:c>
      <x:c r="J50" t="n">
        <x:v>9.2</x:v>
      </x:c>
      <x:c r="K50" t="str">
        <x:v>Citrea Santander</x:v>
      </x:c>
      <x:c r="L50" t="str">
        <x:v>Seafood and coast; wet winter likely</x:v>
      </x:c>
    </x:row>
    <x:row r="51" ht="24" customHeight="1">
      <x:c r="A51" s="22" t="str">
        <x:v>Madrid</x:v>
      </x:c>
      <x:c r="B51" t="str">
        <x:v>18–22 Jan</x:v>
      </x:c>
      <x:c r="C51" t="str">
        <x:v>EDI</x:v>
      </x:c>
      <x:c r="D51" t="str">
        <x:v>10:00</x:v>
      </x:c>
      <x:c r="E51" t="str">
        <x:v>13:55</x:v>
      </x:c>
      <x:c r="F51" t="str">
        <x:v>18:45</x:v>
      </x:c>
      <x:c r="G51" t="str">
        <x:v>20:45</x:v>
      </x:c>
      <x:c r="H51" s="26" t="n">
        <x:v>100.8</x:v>
      </x:c>
      <x:c r="I51" s="24" t="n">
        <x:v>298.28</x:v>
      </x:c>
      <x:c r="J51" t="n">
        <x:v>8.2</x:v>
      </x:c>
      <x:c r="K51" t="str">
        <x:v>Hostal Palacio Madrid</x:v>
      </x:c>
      <x:c r="L51" t="str">
        <x:v>Outstanding art museums and food; good winter city</x:v>
      </x:c>
    </x:row>
    <x:row r="52" ht="24" customHeight="1">
      <x:c r="A52" s="22" t="str">
        <x:v>Geneva</x:v>
      </x:c>
      <x:c r="B52" t="str">
        <x:v>18–22 Jan</x:v>
      </x:c>
      <x:c r="C52" t="str">
        <x:v>EDI</x:v>
      </x:c>
      <x:c r="D52" t="str">
        <x:v>06:20</x:v>
      </x:c>
      <x:c r="E52" t="str">
        <x:v>09:35</x:v>
      </x:c>
      <x:c r="F52" t="str">
        <x:v>13:50</x:v>
      </x:c>
      <x:c r="G52" t="str">
        <x:v>15:10</x:v>
      </x:c>
      <x:c r="H52" s="26" t="n">
        <x:v>100.2</x:v>
      </x:c>
      <x:c r="I52" s="24" t="n">
        <x:v>390.72</x:v>
      </x:c>
      <x:c r="J52" t="n">
        <x:v>8.4</x:v>
      </x:c>
      <x:c r="K52" t="str">
        <x:v>Noirettes 20 - Self Check In</x:v>
      </x:c>
      <x:c r="L52" t="str">
        <x:v>Lakefront and Alpine day-trips; expensive</x:v>
      </x:c>
    </x:row>
    <x:row r="53" ht="24" customHeight="1">
      <x:c r="A53" s="22" t="str">
        <x:v>Málaga</x:v>
      </x:c>
      <x:c r="B53" t="str">
        <x:v>18–22 Jan</x:v>
      </x:c>
      <x:c r="C53" t="str">
        <x:v>EDI</x:v>
      </x:c>
      <x:c r="D53" t="str">
        <x:v>09:15</x:v>
      </x:c>
      <x:c r="E53" t="str">
        <x:v>13:40</x:v>
      </x:c>
      <x:c r="F53" t="str">
        <x:v>15:35</x:v>
      </x:c>
      <x:c r="G53" t="str">
        <x:v>18:05</x:v>
      </x:c>
      <x:c r="H53" s="26" t="n">
        <x:v>97.9</x:v>
      </x:c>
      <x:c r="I53" s="24" t="n">
        <x:v>225.08</x:v>
      </x:c>
      <x:c r="J53" t="n">
        <x:v>8.8</x:v>
      </x:c>
      <x:c r="K53" t="str">
        <x:v>Apartamentos Pinar Málaga Centro</x:v>
      </x:c>
      <x:c r="L53" t="str">
        <x:v>Warmest city option; seafood, museums and tapas</x:v>
      </x:c>
    </x:row>
    <x:row r="54" ht="24" customHeight="1">
      <x:c r="A54" s="22" t="str">
        <x:v>Helsinki</x:v>
      </x:c>
      <x:c r="B54" t="str">
        <x:v>18–22 Jan</x:v>
      </x:c>
      <x:c r="C54" t="str">
        <x:v>EDI</x:v>
      </x:c>
      <x:c r="D54" t="str">
        <x:v>10:25</x:v>
      </x:c>
      <x:c r="E54" t="str">
        <x:v>15:00</x:v>
      </x:c>
      <x:c r="F54" t="str">
        <x:v>16:55</x:v>
      </x:c>
      <x:c r="G54" t="str">
        <x:v>17:50</x:v>
      </x:c>
      <x:c r="H54" s="26" t="n">
        <x:v>97.9</x:v>
      </x:c>
      <x:c r="I54" s="24" t="n">
        <x:v>238.8</x:v>
      </x:c>
      <x:c r="J54" t="n">
        <x:v>9.1</x:v>
      </x:c>
      <x:c r="K54" t="str">
        <x:v>Bob W Helsinki Kaarti</x:v>
      </x:c>
      <x:c r="L54" t="str">
        <x:v>Saunas, design, architecture; very cold and short daylight</x:v>
      </x:c>
    </x:row>
    <x:row r="55" ht="24" customHeight="1">
      <x:c r="A55" s="22" t="str">
        <x:v>Gran Canaria</x:v>
      </x:c>
      <x:c r="B55" t="str">
        <x:v>18–22 Jan</x:v>
      </x:c>
      <x:c r="C55" t="str">
        <x:v>EDI</x:v>
      </x:c>
      <x:c r="D55" t="str">
        <x:v>08:45</x:v>
      </x:c>
      <x:c r="E55" t="str">
        <x:v>13:35</x:v>
      </x:c>
      <x:c r="F55" t="str">
        <x:v>14:40</x:v>
      </x:c>
      <x:c r="G55" t="str">
        <x:v>19:30</x:v>
      </x:c>
      <x:c r="H55" s="26" t="n">
        <x:v>97.1</x:v>
      </x:c>
      <x:c r="I55" s="24" t="n">
        <x:v>294.7</x:v>
      </x:c>
      <x:c r="J55" t="n">
        <x:v>9.2</x:v>
      </x:c>
      <x:c r="K55" t="str">
        <x:v>Gran Marina Suites (Las Palmas)</x:v>
      </x:c>
      <x:c r="L55" t="str">
        <x:v>Las Palmas city or southern resort; warm and much drier</x:v>
      </x:c>
    </x:row>
    <x:row r="56" ht="24" customHeight="1">
      <x:c r="A56" s="22" t="str">
        <x:v>Lanzarote</x:v>
      </x:c>
      <x:c r="B56" t="str">
        <x:v>18–22 Jan</x:v>
      </x:c>
      <x:c r="C56" t="str">
        <x:v>GLA</x:v>
      </x:c>
      <x:c r="D56" t="str">
        <x:v>10:30</x:v>
      </x:c>
      <x:c r="E56" t="str">
        <x:v>15:10</x:v>
      </x:c>
      <x:c r="F56" t="str">
        <x:v>15:10</x:v>
      </x:c>
      <x:c r="G56" t="str">
        <x:v>19:45</x:v>
      </x:c>
      <x:c r="H56" s="26" t="n">
        <x:v>96</x:v>
      </x:c>
      <x:c r="I56" s="24" t="n">
        <x:v>284.87</x:v>
      </x:c>
      <x:c r="J56" t="n">
        <x:v>9.4</x:v>
      </x:c>
      <x:c r="K56" t="str">
        <x:v>Apartamento Tierra y Mar 1</x:v>
      </x:c>
      <x:c r="L56" t="str">
        <x:v>Volcanic landscapes, sun; car helps explore</x:v>
      </x:c>
    </x:row>
    <x:row r="57" ht="24" customHeight="1">
      <x:c r="A57" s="22" t="str">
        <x:v>Alicante</x:v>
      </x:c>
      <x:c r="B57" t="str">
        <x:v>18–22 Jan</x:v>
      </x:c>
      <x:c r="C57" t="str">
        <x:v>GLA</x:v>
      </x:c>
      <x:c r="D57" t="str">
        <x:v>10:50</x:v>
      </x:c>
      <x:c r="E57" t="str">
        <x:v>14:55</x:v>
      </x:c>
      <x:c r="F57" t="str">
        <x:v>13:20</x:v>
      </x:c>
      <x:c r="G57" t="str">
        <x:v>15:30</x:v>
      </x:c>
      <x:c r="H57" s="26" t="n">
        <x:v>94.4</x:v>
      </x:c>
      <x:c r="I57" s="24" t="n">
        <x:v>254.57</x:v>
      </x:c>
      <x:c r="J57" t="n">
        <x:v>8.4</x:v>
      </x:c>
      <x:c r="K57" t="str">
        <x:v>Occidental Alicante</x:v>
      </x:c>
      <x:c r="L57" t="str">
        <x:v>Mild coast and waterfront; good restaurants</x:v>
      </x:c>
    </x:row>
    <x:row r="58" ht="24" customHeight="1">
      <x:c r="A58" s="22" t="str">
        <x:v>Istanbul</x:v>
      </x:c>
      <x:c r="B58" t="str">
        <x:v>17–21 Jan</x:v>
      </x:c>
      <x:c r="C58" t="str">
        <x:v>EDI</x:v>
      </x:c>
      <x:c r="D58" t="str">
        <x:v>10:40</x:v>
      </x:c>
      <x:c r="E58" t="str">
        <x:v>18:10</x:v>
      </x:c>
      <x:c r="F58" t="str">
        <x:v>13:50</x:v>
      </x:c>
      <x:c r="G58" t="str">
        <x:v>15:20</x:v>
      </x:c>
      <x:c r="H58" s="26" t="n">
        <x:v>91.7</x:v>
      </x:c>
      <x:c r="I58" s="24" t="n">
        <x:v>225.13</x:v>
      </x:c>
      <x:c r="J58" t="n">
        <x:v>9</x:v>
      </x:c>
      <x:c r="K58" t="str">
        <x:v>Peyk Hotel Sultanahmet</x:v>
      </x:c>
      <x:c r="L58" t="str">
        <x:v>Historic sites, food and ferries; recent visit may reduce novelty</x:v>
      </x:c>
    </x:row>
  </x:sheetData>
  <x:mergeCells>
    <x:mergeCell ref="A1:L1"/>
    <x:mergeCell ref="A2:L2"/>
    <x:mergeCell ref="A8:L8"/>
    <x:mergeCell ref="A32:L32"/>
    <x:mergeCell ref="A7:L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20" hidden="0" customWidth="1"/>
    <x:col min="4" max="4" width="20" hidden="0" customWidth="1"/>
    <x:col min="5" max="5" width="37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9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  <x:col min="16" max="16" width="15" hidden="0" customWidth="1"/>
    <x:col min="17" max="17" width="16" hidden="0" customWidth="1"/>
    <x:col min="18" max="18" width="18" hidden="0" customWidth="1"/>
    <x:col min="19" max="19" width="18" hidden="0" customWidth="1"/>
    <x:col min="20" max="20" width="36" hidden="0" customWidth="1"/>
    <x:col min="21" max="21" width="12" hidden="0" customWidth="1"/>
    <x:col min="22" max="22" width="25" hidden="0" customWidth="1"/>
    <x:col min="23" max="23" width="42" hidden="0" customWidth="1"/>
    <x:col min="24" max="24" width="45" hidden="0" customWidth="1"/>
    <x:col min="25" max="25" width="54" hidden="0" customWidth="1"/>
    <x:col min="26" max="26" width="61" hidden="0" customWidth="1"/>
  </x:cols>
  <x:sheetData>
    <x:row r="1" ht="33" customHeight="1">
      <x:c r="A1" s="4" t="str">
        <x:v>FLIGHT-VIABLE TRIPS | 17–22 JAN 2027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7" customHeight="1">
      <x:c r="A2" s="10" t="str">
        <x:v>Direct same-airport schedules from your upload, plus separately sourced date-matched fares. Times may be missing for fares found outside the source spreadsheet.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6" ht="37" customHeight="1">
      <x:c r="A6" s="17" t="str">
        <x:v>ID</x:v>
      </x:c>
      <x:c r="B6" s="17" t="str">
        <x:v>Destination</x:v>
      </x:c>
      <x:c r="C6" s="17" t="str">
        <x:v>Country</x:v>
      </x:c>
      <x:c r="D6" s="17" t="str">
        <x:v>Trip type</x:v>
      </x:c>
      <x:c r="E6" s="17" t="str">
        <x:v>Route evidence</x:v>
      </x:c>
      <x:c r="F6" s="17" t="str">
        <x:v>UK airport</x:v>
      </x:c>
      <x:c r="G6" s="17" t="str">
        <x:v>Destination</x:v>
      </x:c>
      <x:c r="H6" s="17" t="str">
        <x:v>Depart Jan</x:v>
      </x:c>
      <x:c r="I6" s="17" t="str">
        <x:v>Return Jan</x:v>
      </x:c>
      <x:c r="J6" s="17" t="str">
        <x:v>Nights</x:v>
      </x:c>
      <x:c r="K6" s="17" t="str">
        <x:v>Leave UK</x:v>
      </x:c>
      <x:c r="L6" s="17" t="str">
        <x:v>Arrive there</x:v>
      </x:c>
      <x:c r="M6" s="17" t="str">
        <x:v>Leave there</x:v>
      </x:c>
      <x:c r="N6" s="17" t="str">
        <x:v>Arrive UK</x:v>
      </x:c>
      <x:c r="O6" s="17" t="str">
        <x:v>Hours in destination</x:v>
      </x:c>
      <x:c r="P6" s="17" t="str">
        <x:v>Flight £ / adult</x:v>
      </x:c>
      <x:c r="Q6" s="17" t="str">
        <x:v>Room £ / two</x:v>
      </x:c>
      <x:c r="R6" s="17" t="str">
        <x:v>Flight + room / two</x:v>
      </x:c>
      <x:c r="S6" s="17" t="str">
        <x:v>With extras / two</x:v>
      </x:c>
      <x:c r="T6" s="17" t="str">
        <x:v>Suggested room</x:v>
      </x:c>
      <x:c r="U6" s="17" t="str">
        <x:v>Rating /10</x:v>
      </x:c>
      <x:c r="V6" s="17" t="str">
        <x:v>Flight number(s)</x:v>
      </x:c>
      <x:c r="W6" s="17" t="str">
        <x:v>Fare source / caution</x:v>
      </x:c>
      <x:c r="X6" s="17" t="str">
        <x:v>Flight link</x:v>
      </x:c>
      <x:c r="Y6" s="17" t="str">
        <x:v>Room link</x:v>
      </x:c>
      <x:c r="Z6" s="17" t="str">
        <x:v>Why go / caveat</x:v>
      </x:c>
    </x:row>
    <x:row r="7" ht="23" customHeight="1">
      <x:c r="A7" t="str">
        <x:v>EU001</x:v>
      </x:c>
      <x:c r="B7" s="22" t="str">
        <x:v>Wrocław</x:v>
      </x:c>
      <x:c r="C7" t="str">
        <x:v>Poland</x:v>
      </x:c>
      <x:c r="D7" t="str">
        <x:v>Historic city</x:v>
      </x:c>
      <x:c r="E7" t="str">
        <x:v>Direct; times not reconfirmed</x:v>
      </x:c>
      <x:c r="F7" t="str">
        <x:v>GLA</x:v>
      </x:c>
      <x:c r="G7" t="str">
        <x:v>WRO</x:v>
      </x:c>
      <x:c r="H7" s="28" t="n">
        <x:v>18</x:v>
      </x:c>
      <x:c r="I7" s="28" t="n">
        <x:v>22</x:v>
      </x:c>
      <x:c r="J7" s="28" t="n">
        <x:f>I7-H7</x:f>
        <x:v>4</x:v>
      </x:c>
      <x:c r="K7" t="str"/>
      <x:c r="L7" t="str"/>
      <x:c r="M7" t="str"/>
      <x:c r="N7" t="str"/>
      <x:c r="O7" s="26"/>
      <x:c r="P7" s="32" t="n">
        <x:v>47</x:v>
      </x:c>
      <x:c r="Q7" s="32" t="n">
        <x:v>104.18</x:v>
      </x:c>
      <x:c r="R7" s="34" t="n">
        <x:f>IF(COUNT(P7:Q7)=2,ROUND(P7*'Method &amp; assumptions'!$B$7+Q7,2),"")</x:f>
        <x:v>198.18</x:v>
      </x:c>
      <x:c r="S7" s="34" t="n">
        <x:f>IF(R7="","",ROUND(R7+'Method &amp; assumptions'!$B$8*'Method &amp; assumptions'!$B$7+'Method &amp; assumptions'!$B$9,2))</x:f>
        <x:v>298.18</x:v>
      </x:c>
      <x:c r="T7" t="str">
        <x:v>Staycity Apartments Sukiennice 6</x:v>
      </x:c>
      <x:c r="U7" t="n">
        <x:v>8.2</x:v>
      </x:c>
      <x:c r="V7" t="str"/>
      <x:c r="W7" t="str">
        <x:v>Skyscanner / dated quote</x:v>
      </x:c>
      <x:c r="X7" t="str">
        <x:v>https://skyscanner.net/g/referrals/v1/flights/home?mediaPartnerId=2850210&amp;utm_term=skyscanner_chatgpt_app_data</x:v>
      </x:c>
      <x:c r="Y7" t="str">
        <x:v>https://www.booking.com/hotel/pl/apartamenty-sukiennice-rynek.html?checkin=2027-01-18&amp;checkout=2027-01-22&amp;group_adults=2&amp;no_rooms=1</x:v>
      </x:c>
      <x:c r="Z7" t="str">
        <x:v>Very low flight + room price; 3 full sightseeing days depending on flights</x:v>
      </x:c>
    </x:row>
    <x:row r="8" ht="23" customHeight="1">
      <x:c r="A8" t="str">
        <x:v>EU002</x:v>
      </x:c>
      <x:c r="B8" s="22" t="str">
        <x:v>Kaunas</x:v>
      </x:c>
      <x:c r="C8" t="str">
        <x:v>Lithuania</x:v>
      </x:c>
      <x:c r="D8" t="str">
        <x:v>Baltic winter</x:v>
      </x:c>
      <x:c r="E8" t="str">
        <x:v>Scheduled direct pair in uploaded file</x:v>
      </x:c>
      <x:c r="F8" t="str">
        <x:v>EDI</x:v>
      </x:c>
      <x:c r="G8" t="str">
        <x:v>KUN</x:v>
      </x:c>
      <x:c r="H8" s="28" t="n">
        <x:v>18</x:v>
      </x:c>
      <x:c r="I8" s="28" t="n">
        <x:v>22</x:v>
      </x:c>
      <x:c r="J8" s="28" t="n">
        <x:f>I8-H8</x:f>
        <x:v>4</x:v>
      </x:c>
      <x:c r="K8" t="str">
        <x:v>08:15</x:v>
      </x:c>
      <x:c r="L8" t="str">
        <x:v>13:00</x:v>
      </x:c>
      <x:c r="M8" t="str">
        <x:v>17:50</x:v>
      </x:c>
      <x:c r="N8" t="str">
        <x:v>18:45</x:v>
      </x:c>
      <x:c r="O8" s="26" t="n">
        <x:v>100.8</x:v>
      </x:c>
      <x:c r="P8" s="32" t="n">
        <x:v>77</x:v>
      </x:c>
      <x:c r="Q8" s="32" t="n">
        <x:v>130.37</x:v>
      </x:c>
      <x:c r="R8" s="34" t="n">
        <x:f>IF(COUNT(P8:Q8)=2,ROUND(P8*'Method &amp; assumptions'!$B$7+Q8,2),"")</x:f>
        <x:v>284.37</x:v>
      </x:c>
      <x:c r="S8" s="34" t="n">
        <x:f>IF(R8="","",ROUND(R8+'Method &amp; assumptions'!$B$8*'Method &amp; assumptions'!$B$7+'Method &amp; assumptions'!$B$9,2))</x:f>
        <x:v>384.37</x:v>
      </x:c>
      <x:c r="T8" t="str">
        <x:v>Teeny Tiny Lofts in Center</x:v>
      </x:c>
      <x:c r="U8" t="n">
        <x:v>8.7</x:v>
      </x:c>
      <x:c r="V8" t="str">
        <x:v>FR2886 / FR2885</x:v>
      </x:c>
      <x:c r="W8" t="str">
        <x:v>Expedia / previously indexed dated quote</x:v>
      </x:c>
      <x:c r="X8" t="str">
        <x:v>https://www.expedia.co.uk/lp/flights/edi/kun</x:v>
      </x:c>
      <x:c r="Y8" t="str">
        <x:v>https://www.booking.com/hotel/lt/teeny-tiny-lofts-in-center.html?checkin=2027-01-18&amp;checkout=2027-01-22&amp;group_adults=2&amp;no_rooms=1</x:v>
      </x:c>
      <x:c r="Z8" t="str">
        <x:v>Strong budget Baltic option; Vilnius rail link</x:v>
      </x:c>
    </x:row>
    <x:row r="9" ht="23" customHeight="1">
      <x:c r="A9" t="str">
        <x:v>EU003</x:v>
      </x:c>
      <x:c r="B9" s="22" t="str">
        <x:v>Warsaw</x:v>
      </x:c>
      <x:c r="C9" t="str">
        <x:v>Poland</x:v>
      </x:c>
      <x:c r="D9" t="str">
        <x:v>Historic city</x:v>
      </x:c>
      <x:c r="E9" t="str">
        <x:v>Direct; times not reconfirmed</x:v>
      </x:c>
      <x:c r="F9" t="str">
        <x:v>EDI</x:v>
      </x:c>
      <x:c r="G9" t="str">
        <x:v>WAW</x:v>
      </x:c>
      <x:c r="H9" s="28" t="n">
        <x:v>17</x:v>
      </x:c>
      <x:c r="I9" s="28" t="n">
        <x:v>22</x:v>
      </x:c>
      <x:c r="J9" s="28" t="n">
        <x:f>I9-H9</x:f>
        <x:v>5</x:v>
      </x:c>
      <x:c r="K9" t="str"/>
      <x:c r="L9" t="str"/>
      <x:c r="M9" t="str"/>
      <x:c r="N9" t="str"/>
      <x:c r="O9" s="26"/>
      <x:c r="P9" s="32" t="n">
        <x:v>63</x:v>
      </x:c>
      <x:c r="Q9" s="32" t="n">
        <x:v>165.01</x:v>
      </x:c>
      <x:c r="R9" s="34" t="n">
        <x:f>IF(COUNT(P9:Q9)=2,ROUND(P9*'Method &amp; assumptions'!$B$7+Q9,2),"")</x:f>
        <x:v>291.01</x:v>
      </x:c>
      <x:c r="S9" s="34" t="n">
        <x:f>IF(R9="","",ROUND(R9+'Method &amp; assumptions'!$B$8*'Method &amp; assumptions'!$B$7+'Method &amp; assumptions'!$B$9,2))</x:f>
        <x:v>391.01</x:v>
      </x:c>
      <x:c r="T9" t="str">
        <x:v>RentOnline Kościelna Apartment Old Town</x:v>
      </x:c>
      <x:c r="U9" t="n">
        <x:v>8.9</x:v>
      </x:c>
      <x:c r="V9" t="str"/>
      <x:c r="W9" t="str">
        <x:v>Skyscanner / dated quote</x:v>
      </x:c>
      <x:c r="X9" t="str">
        <x:v>https://skyscanner.net/g/referrals/v1/flights/home?mediaPartnerId=2850210&amp;utm_term=skyscanner_chatgpt_app_data</x:v>
      </x:c>
      <x:c r="Y9" t="str">
        <x:v>https://www.booking.com/hotel/pl/rentonline-koscielna-apartment-old-town.html?checkin=2027-01-17&amp;checkout=2027-01-22&amp;group_adults=2&amp;no_rooms=1</x:v>
      </x:c>
      <x:c r="Z9" t="str">
        <x:v>Good food, museums, rebuilt Old Town; five nights</x:v>
      </x:c>
    </x:row>
    <x:row r="10" ht="23" customHeight="1">
      <x:c r="A10" t="str">
        <x:v>EU004</x:v>
      </x:c>
      <x:c r="B10" s="22" t="str">
        <x:v>Kaunas</x:v>
      </x:c>
      <x:c r="C10" t="str">
        <x:v>Lithuania</x:v>
      </x:c>
      <x:c r="D10" t="str">
        <x:v>Baltic winter</x:v>
      </x:c>
      <x:c r="E10" t="str">
        <x:v>Scheduled direct pair in uploaded file</x:v>
      </x:c>
      <x:c r="F10" t="str">
        <x:v>EDI</x:v>
      </x:c>
      <x:c r="G10" t="str">
        <x:v>KUN</x:v>
      </x:c>
      <x:c r="H10" s="28" t="n">
        <x:v>17</x:v>
      </x:c>
      <x:c r="I10" s="28" t="n">
        <x:v>22</x:v>
      </x:c>
      <x:c r="J10" s="28" t="n">
        <x:f>I10-H10</x:f>
        <x:v>5</x:v>
      </x:c>
      <x:c r="K10" t="str">
        <x:v>07:35</x:v>
      </x:c>
      <x:c r="L10" t="str">
        <x:v>12:20</x:v>
      </x:c>
      <x:c r="M10" t="str">
        <x:v>17:50</x:v>
      </x:c>
      <x:c r="N10" t="str">
        <x:v>18:45</x:v>
      </x:c>
      <x:c r="O10" s="26" t="n">
        <x:v>125.5</x:v>
      </x:c>
      <x:c r="P10" s="32" t="n">
        <x:v>71</x:v>
      </x:c>
      <x:c r="Q10" s="32" t="n">
        <x:v>160.87</x:v>
      </x:c>
      <x:c r="R10" s="34" t="n">
        <x:f>IF(COUNT(P10:Q10)=2,ROUND(P10*'Method &amp; assumptions'!$B$7+Q10,2),"")</x:f>
        <x:v>302.87</x:v>
      </x:c>
      <x:c r="S10" s="34" t="n">
        <x:f>IF(R10="","",ROUND(R10+'Method &amp; assumptions'!$B$8*'Method &amp; assumptions'!$B$7+'Method &amp; assumptions'!$B$9,2))</x:f>
        <x:v>402.87</x:v>
      </x:c>
      <x:c r="T10" t="str">
        <x:v>Teeny Tiny Lofts in Center</x:v>
      </x:c>
      <x:c r="U10" t="n">
        <x:v>8.7</x:v>
      </x:c>
      <x:c r="V10" t="str">
        <x:v>FR2886 / FR2885</x:v>
      </x:c>
      <x:c r="W10" t="str">
        <x:v>Expedia / previously indexed dated quote</x:v>
      </x:c>
      <x:c r="X10" t="str">
        <x:v>https://www.expedia.co.uk/lp/flights/edi/kun</x:v>
      </x:c>
      <x:c r="Y10" t="str">
        <x:v>https://www.booking.com/hotel/lt/teeny-tiny-lofts-in-center.html?checkin=2027-01-17&amp;checkout=2027-01-22&amp;group_adults=2&amp;no_rooms=1</x:v>
      </x:c>
      <x:c r="Z10" t="str">
        <x:v>Strong budget Baltic option; Vilnius rail link</x:v>
      </x:c>
    </x:row>
    <x:row r="11" ht="23" customHeight="1">
      <x:c r="A11" t="str">
        <x:v>EU005</x:v>
      </x:c>
      <x:c r="B11" s="22" t="str">
        <x:v>Gdańsk</x:v>
      </x:c>
      <x:c r="C11" t="str">
        <x:v>Poland</x:v>
      </x:c>
      <x:c r="D11" t="str">
        <x:v>Baltic winter</x:v>
      </x:c>
      <x:c r="E11" t="str">
        <x:v>Connecting; times not reconfirmed</x:v>
      </x:c>
      <x:c r="F11" t="str">
        <x:v>EDI</x:v>
      </x:c>
      <x:c r="G11" t="str">
        <x:v>GDN</x:v>
      </x:c>
      <x:c r="H11" s="28" t="n">
        <x:v>17</x:v>
      </x:c>
      <x:c r="I11" s="28" t="n">
        <x:v>22</x:v>
      </x:c>
      <x:c r="J11" s="28" t="n">
        <x:f>I11-H11</x:f>
        <x:v>5</x:v>
      </x:c>
      <x:c r="K11" t="str"/>
      <x:c r="L11" t="str"/>
      <x:c r="M11" t="str"/>
      <x:c r="N11" t="str"/>
      <x:c r="O11" s="26"/>
      <x:c r="P11" s="32" t="n">
        <x:v>66</x:v>
      </x:c>
      <x:c r="Q11" s="32" t="n">
        <x:v>175.21</x:v>
      </x:c>
      <x:c r="R11" s="34" t="n">
        <x:f>IF(COUNT(P11:Q11)=2,ROUND(P11*'Method &amp; assumptions'!$B$7+Q11,2),"")</x:f>
        <x:v>307.21</x:v>
      </x:c>
      <x:c r="S11" s="34" t="n">
        <x:f>IF(R11="","",ROUND(R11+'Method &amp; assumptions'!$B$8*'Method &amp; assumptions'!$B$7+'Method &amp; assumptions'!$B$9,2))</x:f>
        <x:v>407.21</x:v>
      </x:c>
      <x:c r="T11" t="str">
        <x:v>Old Town Walowa</x:v>
      </x:c>
      <x:c r="U11" t="n">
        <x:v>9.1</x:v>
      </x:c>
      <x:c r="V11" t="str"/>
      <x:c r="W11" t="str">
        <x:v>Skyscanner / dated quote</x:v>
      </x:c>
      <x:c r="X11" t="str">
        <x:v>https://skyscanner.net/g/referrals/v1/flights/home?mediaPartnerId=2850210&amp;utm_term=skyscanner_chatgpt_app_data</x:v>
      </x:c>
      <x:c r="Y11" t="str">
        <x:v>https://www.booking.com/hotel/pl/old-town-walowa.html?checkin=2027-01-17&amp;checkout=2027-01-22&amp;group_adults=2&amp;no_rooms=1</x:v>
      </x:c>
      <x:c r="Z11" t="str">
        <x:v>Pretty Baltic riverside old town; connecting on priced example</x:v>
      </x:c>
    </x:row>
    <x:row r="12" ht="23" customHeight="1">
      <x:c r="A12" t="str">
        <x:v>EU006</x:v>
      </x:c>
      <x:c r="B12" s="22" t="str">
        <x:v>Kraków</x:v>
      </x:c>
      <x:c r="C12" t="str">
        <x:v>Poland</x:v>
      </x:c>
      <x:c r="D12" t="str">
        <x:v>Historic city</x:v>
      </x:c>
      <x:c r="E12" t="str">
        <x:v>Direct; times not reconfirmed</x:v>
      </x:c>
      <x:c r="F12" t="str">
        <x:v>EDI</x:v>
      </x:c>
      <x:c r="G12" t="str">
        <x:v>KRK</x:v>
      </x:c>
      <x:c r="H12" s="28" t="n">
        <x:v>17</x:v>
      </x:c>
      <x:c r="I12" s="28" t="n">
        <x:v>22</x:v>
      </x:c>
      <x:c r="J12" s="28" t="n">
        <x:f>I12-H12</x:f>
        <x:v>5</x:v>
      </x:c>
      <x:c r="K12" t="str"/>
      <x:c r="L12" t="str"/>
      <x:c r="M12" t="str"/>
      <x:c r="N12" t="str"/>
      <x:c r="O12" s="26"/>
      <x:c r="P12" s="32" t="n">
        <x:v>74</x:v>
      </x:c>
      <x:c r="Q12" s="32" t="n">
        <x:v>162.19</x:v>
      </x:c>
      <x:c r="R12" s="34" t="n">
        <x:f>IF(COUNT(P12:Q12)=2,ROUND(P12*'Method &amp; assumptions'!$B$7+Q12,2),"")</x:f>
        <x:v>310.19</x:v>
      </x:c>
      <x:c r="S12" s="34" t="n">
        <x:f>IF(R12="","",ROUND(R12+'Method &amp; assumptions'!$B$8*'Method &amp; assumptions'!$B$7+'Method &amp; assumptions'!$B$9,2))</x:f>
        <x:v>410.19</x:v>
      </x:c>
      <x:c r="T12" t="str">
        <x:v>Hugo Star Apartments</x:v>
      </x:c>
      <x:c r="U12" t="n">
        <x:v>9.2</x:v>
      </x:c>
      <x:c r="V12" t="str"/>
      <x:c r="W12" t="str">
        <x:v>Previously indexed exact-date fare</x:v>
      </x:c>
      <x:c r="X12" t="str">
        <x:v>https://skyscanner.net/g/referrals/v1/flights/home?mediaPartnerId=2850210&amp;utm_term=skyscanner_chatgpt_app_data</x:v>
      </x:c>
      <x:c r="Y12" t="str">
        <x:v>https://www.booking.com/hotel/pl/hugo-star-apartments.html?checkin=2027-01-17&amp;checkout=2027-01-22&amp;group_adults=2&amp;no_rooms=1</x:v>
      </x:c>
      <x:c r="Z12" t="str">
        <x:v>Excellent Polish dining, Kazimierz, museums</x:v>
      </x:c>
    </x:row>
    <x:row r="13" ht="23" customHeight="1">
      <x:c r="A13" t="str">
        <x:v>EU007</x:v>
      </x:c>
      <x:c r="B13" s="22" t="str">
        <x:v>Vilnius via Kaunas</x:v>
      </x:c>
      <x:c r="C13" t="str">
        <x:v>Lithuania</x:v>
      </x:c>
      <x:c r="D13" t="str">
        <x:v>Other</x:v>
      </x:c>
      <x:c r="E13" t="str">
        <x:v>Direct + ground; times not reconfirmed</x:v>
      </x:c>
      <x:c r="F13" t="str">
        <x:v>EDI</x:v>
      </x:c>
      <x:c r="G13" t="str">
        <x:v>KUN</x:v>
      </x:c>
      <x:c r="H13" s="28" t="n">
        <x:v>18</x:v>
      </x:c>
      <x:c r="I13" s="28" t="n">
        <x:v>22</x:v>
      </x:c>
      <x:c r="J13" s="28" t="n">
        <x:f>I13-H13</x:f>
        <x:v>4</x:v>
      </x:c>
      <x:c r="K13" t="str"/>
      <x:c r="L13" t="str"/>
      <x:c r="M13" t="str"/>
      <x:c r="N13" t="str"/>
      <x:c r="O13" s="26"/>
      <x:c r="P13" s="32" t="n">
        <x:v>77</x:v>
      </x:c>
      <x:c r="Q13" s="32" t="n">
        <x:v>164.22</x:v>
      </x:c>
      <x:c r="R13" s="34" t="n">
        <x:f>IF(COUNT(P13:Q13)=2,ROUND(P13*'Method &amp; assumptions'!$B$7+Q13,2),"")</x:f>
        <x:v>318.22</x:v>
      </x:c>
      <x:c r="S13" s="34" t="n">
        <x:f>IF(R13="","",ROUND(R13+'Method &amp; assumptions'!$B$8*'Method &amp; assumptions'!$B$7+'Method &amp; assumptions'!$B$9,2))</x:f>
        <x:v>418.22</x:v>
      </x:c>
      <x:c r="T13" t="str">
        <x:v>Mini Home Vilnius Old Town</x:v>
      </x:c>
      <x:c r="U13" t="n">
        <x:v>8.7</x:v>
      </x:c>
      <x:c r="V13" t="str"/>
      <x:c r="W13" t="str">
        <x:v>Expedia / flight to Kaunas</x:v>
      </x:c>
      <x:c r="X13" t="str">
        <x:v>https://www.expedia.co.uk/lp/flights/edi/kun</x:v>
      </x:c>
      <x:c r="Y13" t="str">
        <x:v>https://www.booking.com/hotel/lt/mini-home-vilnius-old-town.html?checkin=2027-01-18&amp;checkout=2027-01-22&amp;group_adults=2&amp;no_rooms=1</x:v>
      </x:c>
      <x:c r="Z13" t="str"/>
    </x:row>
    <x:row r="14" ht="23" customHeight="1">
      <x:c r="A14" t="str">
        <x:v>EU008</x:v>
      </x:c>
      <x:c r="B14" s="22" t="str">
        <x:v>Prague</x:v>
      </x:c>
      <x:c r="C14" t="str">
        <x:v>Czech Republic</x:v>
      </x:c>
      <x:c r="D14" t="str">
        <x:v>Romantic / historic</x:v>
      </x:c>
      <x:c r="E14" t="str">
        <x:v>Direct; times not reconfirmed</x:v>
      </x:c>
      <x:c r="F14" t="str">
        <x:v>EDI</x:v>
      </x:c>
      <x:c r="G14" t="str">
        <x:v>PRG</x:v>
      </x:c>
      <x:c r="H14" s="28" t="n">
        <x:v>17</x:v>
      </x:c>
      <x:c r="I14" s="28" t="n">
        <x:v>22</x:v>
      </x:c>
      <x:c r="J14" s="28" t="n">
        <x:f>I14-H14</x:f>
        <x:v>5</x:v>
      </x:c>
      <x:c r="K14" t="str"/>
      <x:c r="L14" t="str"/>
      <x:c r="M14" t="str"/>
      <x:c r="N14" t="str"/>
      <x:c r="O14" s="26"/>
      <x:c r="P14" s="32" t="n">
        <x:v>61</x:v>
      </x:c>
      <x:c r="Q14" s="32" t="n">
        <x:v>198.89</x:v>
      </x:c>
      <x:c r="R14" s="34" t="n">
        <x:f>IF(COUNT(P14:Q14)=2,ROUND(P14*'Method &amp; assumptions'!$B$7+Q14,2),"")</x:f>
        <x:v>320.89</x:v>
      </x:c>
      <x:c r="S14" s="34" t="n">
        <x:f>IF(R14="","",ROUND(R14+'Method &amp; assumptions'!$B$8*'Method &amp; assumptions'!$B$7+'Method &amp; assumptions'!$B$9,2))</x:f>
        <x:v>420.89</x:v>
      </x:c>
      <x:c r="T14" t="str">
        <x:v>Kinsky Garden Apartments and Suites by Dwellfort</x:v>
      </x:c>
      <x:c r="U14" t="n">
        <x:v>9.1</x:v>
      </x:c>
      <x:c r="V14" t="str"/>
      <x:c r="W14" t="str">
        <x:v>Skyscanner / dated quote</x:v>
      </x:c>
      <x:c r="X14" t="str">
        <x:v>https://skyscanner.net/g/referrals/v1/flights/home?mediaPartnerId=2850210&amp;utm_term=skyscanner_chatgpt_app_data</x:v>
      </x:c>
      <x:c r="Y14" t="str">
        <x:v>https://www.booking.com/hotel/cz/kinsky-garden-apartments-and-suites.html?checkin=2027-01-17&amp;checkout=2027-01-22&amp;group_adults=2&amp;no_rooms=1</x:v>
      </x:c>
      <x:c r="Z14" t="str">
        <x:v>Historic atmosphere and pubs; five nights</x:v>
      </x:c>
    </x:row>
    <x:row r="15" ht="23" customHeight="1">
      <x:c r="A15" t="str">
        <x:v>EU009</x:v>
      </x:c>
      <x:c r="B15" s="22" t="str">
        <x:v>Pisa / Florence base</x:v>
      </x:c>
      <x:c r="C15" t="str">
        <x:v>Italy</x:v>
      </x:c>
      <x:c r="D15" t="str">
        <x:v>Culture / history</x:v>
      </x:c>
      <x:c r="E15" t="str">
        <x:v>Connecting; times not reconfirmed</x:v>
      </x:c>
      <x:c r="F15" t="str">
        <x:v>EDI</x:v>
      </x:c>
      <x:c r="G15" t="str">
        <x:v>PSA</x:v>
      </x:c>
      <x:c r="H15" s="28" t="n">
        <x:v>18</x:v>
      </x:c>
      <x:c r="I15" s="28" t="n">
        <x:v>22</x:v>
      </x:c>
      <x:c r="J15" s="28" t="n">
        <x:f>I15-H15</x:f>
        <x:v>4</x:v>
      </x:c>
      <x:c r="K15" t="str"/>
      <x:c r="L15" t="str"/>
      <x:c r="M15" t="str"/>
      <x:c r="N15" t="str"/>
      <x:c r="O15" s="26"/>
      <x:c r="P15" s="32" t="n">
        <x:v>102</x:v>
      </x:c>
      <x:c r="Q15" s="32" t="n">
        <x:v>165.86</x:v>
      </x:c>
      <x:c r="R15" s="34" t="n">
        <x:f>IF(COUNT(P15:Q15)=2,ROUND(P15*'Method &amp; assumptions'!$B$7+Q15,2),"")</x:f>
        <x:v>369.86</x:v>
      </x:c>
      <x:c r="S15" s="34" t="n">
        <x:f>IF(R15="","",ROUND(R15+'Method &amp; assumptions'!$B$8*'Method &amp; assumptions'!$B$7+'Method &amp; assumptions'!$B$9,2))</x:f>
        <x:v>469.86</x:v>
      </x:c>
      <x:c r="T15" t="str">
        <x:v>Regina Rooms Pisa</x:v>
      </x:c>
      <x:c r="U15" t="n">
        <x:v>8.8</x:v>
      </x:c>
      <x:c r="V15" t="str"/>
      <x:c r="W15" t="str">
        <x:v>Skyscanner / dated quote</x:v>
      </x:c>
      <x:c r="X15" t="str">
        <x:v>https://skyscanner.net/g/referrals/v1/flights/home?mediaPartnerId=2850210&amp;utm_term=skyscanner_chatgpt_app_data</x:v>
      </x:c>
      <x:c r="Y15" t="str">
        <x:v>https://www.booking.com/hotel/it/regina-rooms-pisa.html?checkin=2027-01-18&amp;checkout=2027-01-22&amp;group_adults=2&amp;no_rooms=1</x:v>
      </x:c>
      <x:c r="Z15" t="str">
        <x:v>Pisa plus Florence by rail; connecting flights</x:v>
      </x:c>
    </x:row>
    <x:row r="16" ht="23" customHeight="1">
      <x:c r="A16" t="str">
        <x:v>EU010</x:v>
      </x:c>
      <x:c r="B16" s="22" t="str">
        <x:v>Berlin</x:v>
      </x:c>
      <x:c r="C16" t="str">
        <x:v>Germany</x:v>
      </x:c>
      <x:c r="D16" t="str">
        <x:v>Culture / museums</x:v>
      </x:c>
      <x:c r="E16" t="str">
        <x:v>Direct; times not reconfirmed</x:v>
      </x:c>
      <x:c r="F16" t="str">
        <x:v>EDI</x:v>
      </x:c>
      <x:c r="G16" t="str">
        <x:v>BER</x:v>
      </x:c>
      <x:c r="H16" s="28" t="n">
        <x:v>18</x:v>
      </x:c>
      <x:c r="I16" s="28" t="n">
        <x:v>22</x:v>
      </x:c>
      <x:c r="J16" s="28" t="n">
        <x:f>I16-H16</x:f>
        <x:v>4</x:v>
      </x:c>
      <x:c r="K16" t="str"/>
      <x:c r="L16" t="str"/>
      <x:c r="M16" t="str"/>
      <x:c r="N16" t="str"/>
      <x:c r="O16" s="26"/>
      <x:c r="P16" s="32" t="n">
        <x:v>80</x:v>
      </x:c>
      <x:c r="Q16" s="32" t="n">
        <x:v>210.76</x:v>
      </x:c>
      <x:c r="R16" s="34" t="n">
        <x:f>IF(COUNT(P16:Q16)=2,ROUND(P16*'Method &amp; assumptions'!$B$7+Q16,2),"")</x:f>
        <x:v>370.76</x:v>
      </x:c>
      <x:c r="S16" s="34" t="n">
        <x:f>IF(R16="","",ROUND(R16+'Method &amp; assumptions'!$B$8*'Method &amp; assumptions'!$B$7+'Method &amp; assumptions'!$B$9,2))</x:f>
        <x:v>470.76</x:v>
      </x:c>
      <x:c r="T16" t="str">
        <x:v>Premier Inn Berlin City Spittelmarkt</x:v>
      </x:c>
      <x:c r="U16" t="n">
        <x:v>8.2</x:v>
      </x:c>
      <x:c r="V16" t="str"/>
      <x:c r="W16" t="str">
        <x:v>Skyscanner / dated quote</x:v>
      </x:c>
      <x:c r="X16" t="str">
        <x:v>https://skyscanner.net/g/referrals/v1/flights/home?mediaPartnerId=2850210&amp;utm_term=skyscanner_chatgpt_app_data</x:v>
      </x:c>
      <x:c r="Y16" t="str">
        <x:v>https://www.booking.com/hotel/de/am-spittelmarkt.html?checkin=2027-01-18&amp;checkout=2027-01-22&amp;group_adults=2&amp;no_rooms=1</x:v>
      </x:c>
      <x:c r="Z16" t="str">
        <x:v>Museums/food/nightlife; previous Berlin trip in November</x:v>
      </x:c>
    </x:row>
    <x:row r="17" ht="23" customHeight="1">
      <x:c r="A17" t="str">
        <x:v>EU011</x:v>
      </x:c>
      <x:c r="B17" s="22" t="str">
        <x:v>Copenhagen</x:v>
      </x:c>
      <x:c r="C17" t="str">
        <x:v>Denmark</x:v>
      </x:c>
      <x:c r="D17" t="str">
        <x:v>Nordic winter</x:v>
      </x:c>
      <x:c r="E17" t="str">
        <x:v>Scheduled direct pair in uploaded file</x:v>
      </x:c>
      <x:c r="F17" t="str">
        <x:v>EDI</x:v>
      </x:c>
      <x:c r="G17" t="str">
        <x:v>CPH</x:v>
      </x:c>
      <x:c r="H17" s="28" t="n">
        <x:v>18</x:v>
      </x:c>
      <x:c r="I17" s="28" t="n">
        <x:v>22</x:v>
      </x:c>
      <x:c r="J17" s="28" t="n">
        <x:f>I17-H17</x:f>
        <x:v>4</x:v>
      </x:c>
      <x:c r="K17" t="str">
        <x:v>10:40</x:v>
      </x:c>
      <x:c r="L17" t="str">
        <x:v>13:25</x:v>
      </x:c>
      <x:c r="M17" t="str">
        <x:v>17:45</x:v>
      </x:c>
      <x:c r="N17" t="str">
        <x:v>18:35</x:v>
      </x:c>
      <x:c r="O17" s="26" t="n">
        <x:v>100.3</x:v>
      </x:c>
      <x:c r="P17" s="32" t="n">
        <x:v>46</x:v>
      </x:c>
      <x:c r="Q17" s="32" t="n">
        <x:v>302.21</x:v>
      </x:c>
      <x:c r="R17" s="34" t="n">
        <x:f>IF(COUNT(P17:Q17)=2,ROUND(P17*'Method &amp; assumptions'!$B$7+Q17,2),"")</x:f>
        <x:v>394.21</x:v>
      </x:c>
      <x:c r="S17" s="34" t="n">
        <x:f>IF(R17="","",ROUND(R17+'Method &amp; assumptions'!$B$8*'Method &amp; assumptions'!$B$7+'Method &amp; assumptions'!$B$9,2))</x:f>
        <x:v>494.21</x:v>
      </x:c>
      <x:c r="T17" t="str">
        <x:v>Bob W Copenhagen Østerbro</x:v>
      </x:c>
      <x:c r="U17" t="n">
        <x:v>8.8</x:v>
      </x:c>
      <x:c r="V17" t="str">
        <x:v>D83503 / D83502</x:v>
      </x:c>
      <x:c r="W17" t="str">
        <x:v>Skyscanner / dated quote</x:v>
      </x:c>
      <x:c r="X17" t="str">
        <x:v>https://skyscanner.net/g/referrals/v1/flights/home?mediaPartnerId=2850210&amp;utm_term=skyscanner_chatgpt_app_data</x:v>
      </x:c>
      <x:c r="Y17" t="str">
        <x:v>https://www.booking.com/hotel/dk/bob-w-osterbro-copenhagen.html?checkin=2027-01-18&amp;checkout=2027-01-22&amp;group_adults=2&amp;no_rooms=1</x:v>
      </x:c>
      <x:c r="Z17" t="str">
        <x:v>Excellent cafés and design; high daily spending</x:v>
      </x:c>
    </x:row>
    <x:row r="18" ht="23" customHeight="1">
      <x:c r="A18" t="str">
        <x:v>EU012</x:v>
      </x:c>
      <x:c r="B18" s="22" t="str">
        <x:v>Tallinn</x:v>
      </x:c>
      <x:c r="C18" t="str">
        <x:v>Estonia</x:v>
      </x:c>
      <x:c r="D18" t="str">
        <x:v>Baltic winter</x:v>
      </x:c>
      <x:c r="E18" t="str">
        <x:v>Connecting; times not reconfirmed</x:v>
      </x:c>
      <x:c r="F18" t="str">
        <x:v>EDI</x:v>
      </x:c>
      <x:c r="G18" t="str">
        <x:v>TLL</x:v>
      </x:c>
      <x:c r="H18" s="28" t="n">
        <x:v>17</x:v>
      </x:c>
      <x:c r="I18" s="28" t="n">
        <x:v>22</x:v>
      </x:c>
      <x:c r="J18" s="28" t="n">
        <x:f>I18-H18</x:f>
        <x:v>5</x:v>
      </x:c>
      <x:c r="K18" t="str"/>
      <x:c r="L18" t="str"/>
      <x:c r="M18" t="str"/>
      <x:c r="N18" t="str"/>
      <x:c r="O18" s="26"/>
      <x:c r="P18" s="32" t="n">
        <x:v>115</x:v>
      </x:c>
      <x:c r="Q18" s="32" t="n">
        <x:v>191.09</x:v>
      </x:c>
      <x:c r="R18" s="34" t="n">
        <x:f>IF(COUNT(P18:Q18)=2,ROUND(P18*'Method &amp; assumptions'!$B$7+Q18,2),"")</x:f>
        <x:v>421.09</x:v>
      </x:c>
      <x:c r="S18" s="34" t="n">
        <x:f>IF(R18="","",ROUND(R18+'Method &amp; assumptions'!$B$8*'Method &amp; assumptions'!$B$7+'Method &amp; assumptions'!$B$9,2))</x:f>
        <x:v>521.09</x:v>
      </x:c>
      <x:c r="T18" t="str">
        <x:v>Bob W Tallinn Kesklinn</x:v>
      </x:c>
      <x:c r="U18" t="n">
        <x:v>9.4</x:v>
      </x:c>
      <x:c r="V18" t="str"/>
      <x:c r="W18" t="str">
        <x:v>Skyscanner / dated quote</x:v>
      </x:c>
      <x:c r="X18" t="str">
        <x:v>https://skyscanner.net/g/referrals/v1/flights/home?mediaPartnerId=2850210&amp;utm_term=skyscanner_chatgpt_app_data</x:v>
      </x:c>
      <x:c r="Y18" t="str">
        <x:v>https://www.booking.com/hotel/ee/bob-w-kesklinn.html?checkin=2027-01-17&amp;checkout=2027-01-22&amp;group_adults=2&amp;no_rooms=1</x:v>
      </x:c>
      <x:c r="Z18" t="str">
        <x:v>Mediaeval old town, cafés and winter atmosphere; connecting flights</x:v>
      </x:c>
    </x:row>
    <x:row r="19" ht="23" customHeight="1">
      <x:c r="A19" t="str">
        <x:v>EU013</x:v>
      </x:c>
      <x:c r="B19" s="22" t="str">
        <x:v>Paris via Beauvais</x:v>
      </x:c>
      <x:c r="C19" t="str">
        <x:v>France</x:v>
      </x:c>
      <x:c r="D19" t="str">
        <x:v>Other</x:v>
      </x:c>
      <x:c r="E19" t="str">
        <x:v>Direct + ground; times not reconfirmed</x:v>
      </x:c>
      <x:c r="F19" t="str">
        <x:v>EDI</x:v>
      </x:c>
      <x:c r="G19" t="str">
        <x:v>BVA</x:v>
      </x:c>
      <x:c r="H19" s="28" t="n">
        <x:v>18</x:v>
      </x:c>
      <x:c r="I19" s="28" t="n">
        <x:v>22</x:v>
      </x:c>
      <x:c r="J19" s="28" t="n">
        <x:f>I19-H19</x:f>
        <x:v>4</x:v>
      </x:c>
      <x:c r="K19" t="str"/>
      <x:c r="L19" t="str"/>
      <x:c r="M19" t="str"/>
      <x:c r="N19" t="str"/>
      <x:c r="O19" s="26"/>
      <x:c r="P19" s="32" t="n">
        <x:v>55</x:v>
      </x:c>
      <x:c r="Q19" s="32" t="n">
        <x:v>320.06</x:v>
      </x:c>
      <x:c r="R19" s="34" t="n">
        <x:f>IF(COUNT(P19:Q19)=2,ROUND(P19*'Method &amp; assumptions'!$B$7+Q19,2),"")</x:f>
        <x:v>430.06</x:v>
      </x:c>
      <x:c r="S19" s="34" t="n">
        <x:f>IF(R19="","",ROUND(R19+'Method &amp; assumptions'!$B$8*'Method &amp; assumptions'!$B$7+'Method &amp; assumptions'!$B$9,2))</x:f>
        <x:v>530.06</x:v>
      </x:c>
      <x:c r="T19" t="str">
        <x:v>Tipi</x:v>
      </x:c>
      <x:c r="U19" t="n">
        <x:v>7.6</x:v>
      </x:c>
      <x:c r="V19" t="str"/>
      <x:c r="W19" t="str">
        <x:v>Skyscanner / dated quote</x:v>
      </x:c>
      <x:c r="X19" t="str">
        <x:v>https://skyscanner.net/g/referrals/v1/flights/home?mediaPartnerId=2850210&amp;utm_term=skyscanner_chatgpt_app_data</x:v>
      </x:c>
      <x:c r="Y19" t="str">
        <x:v>https://www.booking.com/hotel/fr/tipi.html?checkin=2027-01-18&amp;checkout=2027-01-22&amp;group_adults=2&amp;no_rooms=1</x:v>
      </x:c>
      <x:c r="Z19" t="str"/>
    </x:row>
    <x:row r="20" ht="23" customHeight="1">
      <x:c r="A20" t="str">
        <x:v>EU014</x:v>
      </x:c>
      <x:c r="B20" s="22" t="str">
        <x:v>Málaga</x:v>
      </x:c>
      <x:c r="C20" t="str">
        <x:v>Spain</x:v>
      </x:c>
      <x:c r="D20" t="str">
        <x:v>Mild / coast</x:v>
      </x:c>
      <x:c r="E20" t="str">
        <x:v>Direct; times not reconfirmed</x:v>
      </x:c>
      <x:c r="F20" t="str">
        <x:v>GLA</x:v>
      </x:c>
      <x:c r="G20" t="str">
        <x:v>AGP</x:v>
      </x:c>
      <x:c r="H20" s="28" t="n">
        <x:v>17</x:v>
      </x:c>
      <x:c r="I20" s="28" t="n">
        <x:v>22</x:v>
      </x:c>
      <x:c r="J20" s="28" t="n">
        <x:f>I20-H20</x:f>
        <x:v>5</x:v>
      </x:c>
      <x:c r="K20" t="str"/>
      <x:c r="L20" t="str"/>
      <x:c r="M20" t="str"/>
      <x:c r="N20" t="str"/>
      <x:c r="O20" s="26"/>
      <x:c r="P20" s="32" t="n">
        <x:v>66</x:v>
      </x:c>
      <x:c r="Q20" s="32" t="n">
        <x:v>319.89</x:v>
      </x:c>
      <x:c r="R20" s="34" t="n">
        <x:f>IF(COUNT(P20:Q20)=2,ROUND(P20*'Method &amp; assumptions'!$B$7+Q20,2),"")</x:f>
        <x:v>451.89</x:v>
      </x:c>
      <x:c r="S20" s="34" t="n">
        <x:f>IF(R20="","",ROUND(R20+'Method &amp; assumptions'!$B$8*'Method &amp; assumptions'!$B$7+'Method &amp; assumptions'!$B$9,2))</x:f>
        <x:v>551.89</x:v>
      </x:c>
      <x:c r="T20" t="str">
        <x:v>Apartamentos Pinar Málaga Centro - Carretería</x:v>
      </x:c>
      <x:c r="U20" t="n">
        <x:v>8.8</x:v>
      </x:c>
      <x:c r="V20" t="str"/>
      <x:c r="W20" t="str">
        <x:v>Previously indexed exact-date easyJet fare</x:v>
      </x:c>
      <x:c r="X20" t="str">
        <x:v>https://skyscanner.net/g/referrals/v1/flights/home?mediaPartnerId=2850210&amp;utm_term=skyscanner_chatgpt_app_data</x:v>
      </x:c>
      <x:c r="Y20" t="str">
        <x:v>https://www.booking.com/hotel/es/apartamento-marmoles-m1-centro.html?checkin=2027-01-17&amp;checkout=2027-01-22&amp;group_adults=2&amp;no_rooms=1</x:v>
      </x:c>
      <x:c r="Z20" t="str">
        <x:v>Warmest city option; seafood, museums and tapas</x:v>
      </x:c>
    </x:row>
    <x:row r="21" ht="23" customHeight="1">
      <x:c r="A21" t="str">
        <x:v>EU015</x:v>
      </x:c>
      <x:c r="B21" s="22" t="str">
        <x:v>Munich</x:v>
      </x:c>
      <x:c r="C21" t="str">
        <x:v>Germany</x:v>
      </x:c>
      <x:c r="D21" t="str">
        <x:v>Historic city</x:v>
      </x:c>
      <x:c r="E21" t="str">
        <x:v>Direct; times not reconfirmed</x:v>
      </x:c>
      <x:c r="F21" t="str">
        <x:v>EDI</x:v>
      </x:c>
      <x:c r="G21" t="str">
        <x:v>MUC</x:v>
      </x:c>
      <x:c r="H21" s="28" t="n">
        <x:v>17</x:v>
      </x:c>
      <x:c r="I21" s="28" t="n">
        <x:v>21</x:v>
      </x:c>
      <x:c r="J21" s="28" t="n">
        <x:f>I21-H21</x:f>
        <x:v>4</x:v>
      </x:c>
      <x:c r="K21" t="str"/>
      <x:c r="L21" t="str"/>
      <x:c r="M21" t="str"/>
      <x:c r="N21" t="str"/>
      <x:c r="O21" s="26"/>
      <x:c r="P21" s="32" t="n">
        <x:v>100</x:v>
      </x:c>
      <x:c r="Q21" s="32" t="n">
        <x:v>258.9</x:v>
      </x:c>
      <x:c r="R21" s="34" t="n">
        <x:f>IF(COUNT(P21:Q21)=2,ROUND(P21*'Method &amp; assumptions'!$B$7+Q21,2),"")</x:f>
        <x:v>458.9</x:v>
      </x:c>
      <x:c r="S21" s="34" t="n">
        <x:f>IF(R21="","",ROUND(R21+'Method &amp; assumptions'!$B$8*'Method &amp; assumptions'!$B$7+'Method &amp; assumptions'!$B$9,2))</x:f>
        <x:v>558.9</x:v>
      </x:c>
      <x:c r="T21" t="str">
        <x:v>Hotel GIO</x:v>
      </x:c>
      <x:c r="U21" t="n">
        <x:v>8.3</x:v>
      </x:c>
      <x:c r="V21" t="str"/>
      <x:c r="W21" t="str">
        <x:v>Skyscanner / dated quote</x:v>
      </x:c>
      <x:c r="X21" t="str">
        <x:v>https://skyscanner.net/g/referrals/v1/flights/home?mediaPartnerId=2850210&amp;utm_term=skyscanner_chatgpt_app_data</x:v>
      </x:c>
      <x:c r="Y21" t="str">
        <x:v>https://www.booking.com/hotel/de/hotelherzogmunich.html?checkin=2027-01-17&amp;checkout=2027-01-21&amp;group_adults=2&amp;no_rooms=1</x:v>
      </x:c>
      <x:c r="Z21" t="str">
        <x:v>Beer halls, historic city; Alpine day-trips</x:v>
      </x:c>
    </x:row>
    <x:row r="22" ht="23" customHeight="1">
      <x:c r="A22" t="str">
        <x:v>EU016</x:v>
      </x:c>
      <x:c r="B22" s="22" t="str">
        <x:v>Paphos</x:v>
      </x:c>
      <x:c r="C22" t="str">
        <x:v>Cyprus</x:v>
      </x:c>
      <x:c r="D22" t="str">
        <x:v>Mild / archaeology</x:v>
      </x:c>
      <x:c r="E22" t="str">
        <x:v>Connecting; times not reconfirmed</x:v>
      </x:c>
      <x:c r="F22" t="str">
        <x:v>EDI</x:v>
      </x:c>
      <x:c r="G22" t="str">
        <x:v>PFO</x:v>
      </x:c>
      <x:c r="H22" s="28" t="n">
        <x:v>18</x:v>
      </x:c>
      <x:c r="I22" s="28" t="n">
        <x:v>22</x:v>
      </x:c>
      <x:c r="J22" s="28" t="n">
        <x:f>I22-H22</x:f>
        <x:v>4</x:v>
      </x:c>
      <x:c r="K22" t="str"/>
      <x:c r="L22" t="str"/>
      <x:c r="M22" t="str"/>
      <x:c r="N22" t="str"/>
      <x:c r="O22" s="26"/>
      <x:c r="P22" s="32" t="n">
        <x:v>129</x:v>
      </x:c>
      <x:c r="Q22" s="32" t="n">
        <x:v>209.03</x:v>
      </x:c>
      <x:c r="R22" s="34" t="n">
        <x:f>IF(COUNT(P22:Q22)=2,ROUND(P22*'Method &amp; assumptions'!$B$7+Q22,2),"")</x:f>
        <x:v>467.03</x:v>
      </x:c>
      <x:c r="S22" s="34" t="n">
        <x:f>IF(R22="","",ROUND(R22+'Method &amp; assumptions'!$B$8*'Method &amp; assumptions'!$B$7+'Method &amp; assumptions'!$B$9,2))</x:f>
        <x:v>567.03</x:v>
      </x:c>
      <x:c r="T22" t="str">
        <x:v>Pyramos Hotel</x:v>
      </x:c>
      <x:c r="U22" t="n">
        <x:v>8.2</x:v>
      </x:c>
      <x:c r="V22" t="str"/>
      <x:c r="W22" t="str">
        <x:v>Skyscanner / dated quote</x:v>
      </x:c>
      <x:c r="X22" t="str">
        <x:v>https://skyscanner.net/g/referrals/v1/flights/home?mediaPartnerId=2850210&amp;utm_term=skyscanner_chatgpt_app_data</x:v>
      </x:c>
      <x:c r="Y22" t="str">
        <x:v>https://www.booking.com/hotel/cy/pyramos.html?checkin=2027-01-18&amp;checkout=2027-01-22&amp;group_adults=2&amp;no_rooms=1</x:v>
      </x:c>
      <x:c r="Z22" t="str">
        <x:v>Antiquity, archaeology and mild coastal winter</x:v>
      </x:c>
    </x:row>
    <x:row r="23" ht="23" customHeight="1">
      <x:c r="A23" t="str">
        <x:v>EU017</x:v>
      </x:c>
      <x:c r="B23" s="22" t="str">
        <x:v>Tenerife South</x:v>
      </x:c>
      <x:c r="C23" t="str">
        <x:v>Spain (Canaries)</x:v>
      </x:c>
      <x:c r="D23" t="str">
        <x:v>Winter sun</x:v>
      </x:c>
      <x:c r="E23" t="str">
        <x:v>Scheduled direct pair in uploaded file</x:v>
      </x:c>
      <x:c r="F23" t="str">
        <x:v>EDI</x:v>
      </x:c>
      <x:c r="G23" t="str">
        <x:v>TFS</x:v>
      </x:c>
      <x:c r="H23" s="28" t="n">
        <x:v>18</x:v>
      </x:c>
      <x:c r="I23" s="28" t="n">
        <x:v>22</x:v>
      </x:c>
      <x:c r="J23" s="28" t="n">
        <x:f>I23-H23</x:f>
        <x:v>4</x:v>
      </x:c>
      <x:c r="K23" t="str">
        <x:v>06:05</x:v>
      </x:c>
      <x:c r="L23" t="str">
        <x:v>10:55</x:v>
      </x:c>
      <x:c r="M23" t="str">
        <x:v>13:25</x:v>
      </x:c>
      <x:c r="N23" t="str">
        <x:v>18:20</x:v>
      </x:c>
      <x:c r="O23" s="26" t="n">
        <x:v>98.5</x:v>
      </x:c>
      <x:c r="P23" s="32" t="n">
        <x:v>71</x:v>
      </x:c>
      <x:c r="Q23" s="32" t="n">
        <x:v>350.22</x:v>
      </x:c>
      <x:c r="R23" s="34" t="n">
        <x:f>IF(COUNT(P23:Q23)=2,ROUND(P23*'Method &amp; assumptions'!$B$7+Q23,2),"")</x:f>
        <x:v>492.22</x:v>
      </x:c>
      <x:c r="S23" s="34" t="n">
        <x:f>IF(R23="","",ROUND(R23+'Method &amp; assumptions'!$B$8*'Method &amp; assumptions'!$B$7+'Method &amp; assumptions'!$B$9,2))</x:f>
        <x:v>592.22</x:v>
      </x:c>
      <x:c r="T23" t="str">
        <x:v>Apartamentos Doña Emilia</x:v>
      </x:c>
      <x:c r="U23" t="n">
        <x:v>9.4</x:v>
      </x:c>
      <x:c r="V23" t="str">
        <x:v>FR2969 / LS740</x:v>
      </x:c>
      <x:c r="W23" t="str">
        <x:v>Skyscanner / dated quote</x:v>
      </x:c>
      <x:c r="X23" t="str">
        <x:v>https://skyscanner.net/g/referrals/v1/flights/home?mediaPartnerId=2850210&amp;utm_term=skyscanner_chatgpt_app_data</x:v>
      </x:c>
      <x:c r="Y23" t="str">
        <x:v>https://www.booking.com/hotel/es/apartamentos-dona-emilia.html?checkin=2027-01-18&amp;checkout=2027-01-22&amp;group_adults=2&amp;no_rooms=1</x:v>
      </x:c>
      <x:c r="Z23" t="str">
        <x:v>Reliable sun, hiking; resorts cost more and car/transfer may help</x:v>
      </x:c>
    </x:row>
    <x:row r="24" ht="23" customHeight="1">
      <x:c r="A24" t="str">
        <x:v>EU018</x:v>
      </x:c>
      <x:c r="B24" s="22" t="str">
        <x:v>Rome</x:v>
      </x:c>
      <x:c r="C24" t="str">
        <x:v>Italy</x:v>
      </x:c>
      <x:c r="D24" t="str">
        <x:v>History / food</x:v>
      </x:c>
      <x:c r="E24" t="str">
        <x:v>Connecting; times not reconfirmed</x:v>
      </x:c>
      <x:c r="F24" t="str">
        <x:v>EDI</x:v>
      </x:c>
      <x:c r="G24" t="str">
        <x:v>FCO</x:v>
      </x:c>
      <x:c r="H24" s="28" t="n">
        <x:v>17</x:v>
      </x:c>
      <x:c r="I24" s="28" t="n">
        <x:v>21</x:v>
      </x:c>
      <x:c r="J24" s="28" t="n">
        <x:f>I24-H24</x:f>
        <x:v>4</x:v>
      </x:c>
      <x:c r="K24" t="str"/>
      <x:c r="L24" t="str"/>
      <x:c r="M24" t="str"/>
      <x:c r="N24" t="str"/>
      <x:c r="O24" s="26"/>
      <x:c r="P24" s="32" t="n">
        <x:v>106</x:v>
      </x:c>
      <x:c r="Q24" s="32" t="n">
        <x:v>281.52</x:v>
      </x:c>
      <x:c r="R24" s="34" t="n">
        <x:f>IF(COUNT(P24:Q24)=2,ROUND(P24*'Method &amp; assumptions'!$B$7+Q24,2),"")</x:f>
        <x:v>493.52</x:v>
      </x:c>
      <x:c r="S24" s="34" t="n">
        <x:f>IF(R24="","",ROUND(R24+'Method &amp; assumptions'!$B$8*'Method &amp; assumptions'!$B$7+'Method &amp; assumptions'!$B$9,2))</x:f>
        <x:v>593.52</x:v>
      </x:c>
      <x:c r="T24" t="str">
        <x:v>The Spanish Suite Piazza di Spagna</x:v>
      </x:c>
      <x:c r="U24" t="n">
        <x:v>8.2</x:v>
      </x:c>
      <x:c r="V24" t="str"/>
      <x:c r="W24" t="str">
        <x:v>Skyscanner / dated quote</x:v>
      </x:c>
      <x:c r="X24" t="str">
        <x:v>https://skyscanner.net/g/referrals/v1/flights/home?mediaPartnerId=2850210&amp;utm_term=skyscanner_chatgpt_app_data</x:v>
      </x:c>
      <x:c r="Y24" t="str">
        <x:v>https://www.booking.com/hotel/it/the-spanish-suite.html?checkin=2027-01-17&amp;checkout=2027-01-21&amp;group_adults=2&amp;no_rooms=1</x:v>
      </x:c>
      <x:c r="Z24" t="str">
        <x:v>Classical archaeology; winter is less busy</x:v>
      </x:c>
    </x:row>
    <x:row r="25" ht="23" customHeight="1">
      <x:c r="A25" t="str">
        <x:v>EU019</x:v>
      </x:c>
      <x:c r="B25" s="22" t="str">
        <x:v>Porto</x:v>
      </x:c>
      <x:c r="C25" t="str">
        <x:v>Portugal</x:v>
      </x:c>
      <x:c r="D25" t="str">
        <x:v>City / cafés</x:v>
      </x:c>
      <x:c r="E25" t="str">
        <x:v>Connecting; times not reconfirmed</x:v>
      </x:c>
      <x:c r="F25" t="str">
        <x:v>EDI</x:v>
      </x:c>
      <x:c r="G25" t="str">
        <x:v>OPO</x:v>
      </x:c>
      <x:c r="H25" s="28" t="n">
        <x:v>18</x:v>
      </x:c>
      <x:c r="I25" s="28" t="n">
        <x:v>22</x:v>
      </x:c>
      <x:c r="J25" s="28" t="n">
        <x:f>I25-H25</x:f>
        <x:v>4</x:v>
      </x:c>
      <x:c r="K25" t="str"/>
      <x:c r="L25" t="str"/>
      <x:c r="M25" t="str"/>
      <x:c r="N25" t="str"/>
      <x:c r="O25" s="26"/>
      <x:c r="P25" s="32" t="n">
        <x:v>186</x:v>
      </x:c>
      <x:c r="Q25" s="32" t="n">
        <x:v>155.09</x:v>
      </x:c>
      <x:c r="R25" s="34" t="n">
        <x:f>IF(COUNT(P25:Q25)=2,ROUND(P25*'Method &amp; assumptions'!$B$7+Q25,2),"")</x:f>
        <x:v>527.09</x:v>
      </x:c>
      <x:c r="S25" s="34" t="n">
        <x:f>IF(R25="","",ROUND(R25+'Method &amp; assumptions'!$B$8*'Method &amp; assumptions'!$B$7+'Method &amp; assumptions'!$B$9,2))</x:f>
        <x:v>627.09</x:v>
      </x:c>
      <x:c r="T25" t="str">
        <x:v>Office Suits in Flores by D&amp;S</x:v>
      </x:c>
      <x:c r="U25" t="n">
        <x:v>8.5</x:v>
      </x:c>
      <x:c r="V25" t="str"/>
      <x:c r="W25" t="str">
        <x:v>Previously indexed exact-date KLM fare</x:v>
      </x:c>
      <x:c r="X25" t="str">
        <x:v>https://skyscanner.net/g/referrals/v1/flights/home?mediaPartnerId=2850210&amp;utm_term=skyscanner_chatgpt_app_data</x:v>
      </x:c>
      <x:c r="Y25" t="str">
        <x:v>https://www.booking.com/hotel/pt/office-suits-in-flores-by-d-amp-s.html?checkin=2027-01-18&amp;checkout=2027-01-22&amp;group_adults=2&amp;no_rooms=1</x:v>
      </x:c>
      <x:c r="Z25" t="str">
        <x:v>Food and architecture; connecting flights and winter rain</x:v>
      </x:c>
    </x:row>
    <x:row r="26" ht="23" customHeight="1">
      <x:c r="A26" t="str">
        <x:v>EU020</x:v>
      </x:c>
      <x:c r="B26" s="22" t="str">
        <x:v>Luxembourg City</x:v>
      </x:c>
      <x:c r="C26" t="str">
        <x:v>Luxembourg</x:v>
      </x:c>
      <x:c r="D26" t="str">
        <x:v>Compact city</x:v>
      </x:c>
      <x:c r="E26" t="str">
        <x:v>Connecting; times not reconfirmed</x:v>
      </x:c>
      <x:c r="F26" t="str">
        <x:v>EDI</x:v>
      </x:c>
      <x:c r="G26" t="str">
        <x:v>LUX</x:v>
      </x:c>
      <x:c r="H26" s="28" t="n">
        <x:v>18</x:v>
      </x:c>
      <x:c r="I26" s="28" t="n">
        <x:v>22</x:v>
      </x:c>
      <x:c r="J26" s="28" t="n">
        <x:f>I26-H26</x:f>
        <x:v>4</x:v>
      </x:c>
      <x:c r="K26" t="str"/>
      <x:c r="L26" t="str"/>
      <x:c r="M26" t="str"/>
      <x:c r="N26" t="str"/>
      <x:c r="O26" s="26"/>
      <x:c r="P26" s="32" t="n">
        <x:v>99</x:v>
      </x:c>
      <x:c r="Q26" s="32" t="n">
        <x:v>368.66</x:v>
      </x:c>
      <x:c r="R26" s="34" t="n">
        <x:f>IF(COUNT(P26:Q26)=2,ROUND(P26*'Method &amp; assumptions'!$B$7+Q26,2),"")</x:f>
        <x:v>566.66</x:v>
      </x:c>
      <x:c r="S26" s="34" t="n">
        <x:f>IF(R26="","",ROUND(R26+'Method &amp; assumptions'!$B$8*'Method &amp; assumptions'!$B$7+'Method &amp; assumptions'!$B$9,2))</x:f>
        <x:v>666.66</x:v>
      </x:c>
      <x:c r="T26" t="str">
        <x:v>Roomies Luxembourg Centre Gare</x:v>
      </x:c>
      <x:c r="U26" t="n">
        <x:v>8.2</x:v>
      </x:c>
      <x:c r="V26" t="str"/>
      <x:c r="W26" t="str">
        <x:v>Skyscanner / dated quote</x:v>
      </x:c>
      <x:c r="X26" t="str">
        <x:v>https://skyscanner.net/g/referrals/v1/flights/home?mediaPartnerId=2850210&amp;utm_term=skyscanner_chatgpt_app_data</x:v>
      </x:c>
      <x:c r="Y26" t="str">
        <x:v>https://www.booking.com/hotel/lu/roomies-luxembourg-centre-gare.html?checkin=2027-01-18&amp;checkout=2027-01-22&amp;group_adults=2&amp;no_rooms=1</x:v>
      </x:c>
      <x:c r="Z26" t="str">
        <x:v>Interesting fortifications and free public transport; expensive hotels</x:v>
      </x:c>
    </x:row>
    <x:row r="27" ht="23" customHeight="1">
      <x:c r="A27" t="str">
        <x:v>EU021</x:v>
      </x:c>
      <x:c r="B27" s="22" t="str">
        <x:v>Kraków</x:v>
      </x:c>
      <x:c r="C27" t="str">
        <x:v>Poland</x:v>
      </x:c>
      <x:c r="D27" t="str">
        <x:v>Historic city</x:v>
      </x:c>
      <x:c r="E27" t="str">
        <x:v>Scheduled direct pair in uploaded file</x:v>
      </x:c>
      <x:c r="F27" t="str">
        <x:v>GLA</x:v>
      </x:c>
      <x:c r="G27" t="str">
        <x:v>KRK</x:v>
      </x:c>
      <x:c r="H27" s="28" t="n">
        <x:v>18</x:v>
      </x:c>
      <x:c r="I27" s="28" t="n">
        <x:v>22</x:v>
      </x:c>
      <x:c r="J27" s="28" t="n">
        <x:f>I27-H27</x:f>
        <x:v>4</x:v>
      </x:c>
      <x:c r="K27" t="str">
        <x:v>08:35</x:v>
      </x:c>
      <x:c r="L27" t="str">
        <x:v>12:20</x:v>
      </x:c>
      <x:c r="M27" t="str">
        <x:v>18:00</x:v>
      </x:c>
      <x:c r="N27" t="str">
        <x:v>20:00</x:v>
      </x:c>
      <x:c r="O27" s="26" t="n">
        <x:v>101.7</x:v>
      </x:c>
      <x:c r="P27" s="32"/>
      <x:c r="Q27" s="32" t="n">
        <x:v>129.75</x:v>
      </x:c>
      <x:c r="R27" s="34" t="str">
        <x:f>IF(COUNT(P27:Q27)=2,ROUND(P27*'Method &amp; assumptions'!$B$7+Q27,2),"")</x:f>
      </x:c>
      <x:c r="S27" s="34" t="str">
        <x:f>IF(R27="","",ROUND(R27+'Method &amp; assumptions'!$B$8*'Method &amp; assumptions'!$B$7+'Method &amp; assumptions'!$B$9,2))</x:f>
      </x:c>
      <x:c r="T27" t="str">
        <x:v>Hugo Star Apartments</x:v>
      </x:c>
      <x:c r="U27" t="n">
        <x:v>9.2</x:v>
      </x:c>
      <x:c r="V27" t="str">
        <x:v>FR4204 / FR4203</x:v>
      </x:c>
      <x:c r="W27" t="str">
        <x:v>No date-specific fare yet</x:v>
      </x:c>
      <x:c r="X27" t="str">
        <x:v>https://www.flightsfrom.com/GLA</x:v>
      </x:c>
      <x:c r="Y27" t="str">
        <x:v>https://www.booking.com/hotel/pl/hugo-star-apartments.html?checkin=2027-01-18&amp;checkout=2027-01-22&amp;group_adults=2&amp;no_rooms=1</x:v>
      </x:c>
      <x:c r="Z27" t="str">
        <x:v>Excellent Polish dining, Kazimierz, museums</x:v>
      </x:c>
    </x:row>
    <x:row r="28" ht="23" customHeight="1">
      <x:c r="A28" t="str">
        <x:v>EU022</x:v>
      </x:c>
      <x:c r="B28" s="22" t="str">
        <x:v>Poznań</x:v>
      </x:c>
      <x:c r="C28" t="str">
        <x:v>Poland</x:v>
      </x:c>
      <x:c r="D28" t="str">
        <x:v>Historic city</x:v>
      </x:c>
      <x:c r="E28" t="str">
        <x:v>Scheduled direct pair in uploaded file</x:v>
      </x:c>
      <x:c r="F28" t="str">
        <x:v>EDI</x:v>
      </x:c>
      <x:c r="G28" t="str">
        <x:v>POZ</x:v>
      </x:c>
      <x:c r="H28" s="28" t="n">
        <x:v>17</x:v>
      </x:c>
      <x:c r="I28" s="28" t="n">
        <x:v>22</x:v>
      </x:c>
      <x:c r="J28" s="28" t="n">
        <x:f>I28-H28</x:f>
        <x:v>5</x:v>
      </x:c>
      <x:c r="K28" t="str">
        <x:v>06:25</x:v>
      </x:c>
      <x:c r="L28" t="str">
        <x:v>09:45</x:v>
      </x:c>
      <x:c r="M28" t="str">
        <x:v>17:50</x:v>
      </x:c>
      <x:c r="N28" t="str">
        <x:v>19:20</x:v>
      </x:c>
      <x:c r="O28" s="26" t="n">
        <x:v>128.1</x:v>
      </x:c>
      <x:c r="P28" s="32"/>
      <x:c r="Q28" s="32" t="n">
        <x:v>160.85</x:v>
      </x:c>
      <x:c r="R28" s="34" t="str">
        <x:f>IF(COUNT(P28:Q28)=2,ROUND(P28*'Method &amp; assumptions'!$B$7+Q28,2),"")</x:f>
      </x:c>
      <x:c r="S28" s="34" t="str">
        <x:f>IF(R28="","",ROUND(R28+'Method &amp; assumptions'!$B$8*'Method &amp; assumptions'!$B$7+'Method &amp; assumptions'!$B$9,2))</x:f>
      </x:c>
      <x:c r="T28" t="str">
        <x:v>Central Rail &amp; Old Town Apartments</x:v>
      </x:c>
      <x:c r="U28" t="n">
        <x:v>9.6</x:v>
      </x:c>
      <x:c r="V28" t="str">
        <x:v>FR6618 / FR6619</x:v>
      </x:c>
      <x:c r="W28" t="str">
        <x:v>No date-specific fare yet</x:v>
      </x:c>
      <x:c r="X28" t="str">
        <x:v>https://www.flightsfrom.com/EDI</x:v>
      </x:c>
      <x:c r="Y28" t="str">
        <x:v>https://www.booking.com/hotel/pl/central-rail-amp-old-town-apartments.html?checkin=2027-01-17&amp;checkout=2027-01-22&amp;group_adults=2&amp;no_rooms=1</x:v>
      </x:c>
      <x:c r="Z28" t="str">
        <x:v>Affordable Old Town, cafés, excellent heritage accommodation</x:v>
      </x:c>
    </x:row>
    <x:row r="29" ht="23" customHeight="1">
      <x:c r="A29" t="str">
        <x:v>EU023</x:v>
      </x:c>
      <x:c r="B29" s="22" t="str">
        <x:v>Santander</x:v>
      </x:c>
      <x:c r="C29" t="str">
        <x:v>Spain</x:v>
      </x:c>
      <x:c r="D29" t="str">
        <x:v>Coastal / food</x:v>
      </x:c>
      <x:c r="E29" t="str">
        <x:v>Scheduled direct pair in uploaded file</x:v>
      </x:c>
      <x:c r="F29" t="str">
        <x:v>EDI</x:v>
      </x:c>
      <x:c r="G29" t="str">
        <x:v>SDR</x:v>
      </x:c>
      <x:c r="H29" s="28" t="n">
        <x:v>17</x:v>
      </x:c>
      <x:c r="I29" s="28" t="n">
        <x:v>21</x:v>
      </x:c>
      <x:c r="J29" s="28" t="n">
        <x:f>I29-H29</x:f>
        <x:v>4</x:v>
      </x:c>
      <x:c r="K29" t="str">
        <x:v>06:15</x:v>
      </x:c>
      <x:c r="L29" t="str">
        <x:v>09:40</x:v>
      </x:c>
      <x:c r="M29" t="str">
        <x:v>14:35</x:v>
      </x:c>
      <x:c r="N29" t="str">
        <x:v>15:55</x:v>
      </x:c>
      <x:c r="O29" s="26" t="n">
        <x:v>100.9</x:v>
      </x:c>
      <x:c r="P29" s="32"/>
      <x:c r="Q29" s="32" t="n">
        <x:v>167.57</x:v>
      </x:c>
      <x:c r="R29" s="34" t="str">
        <x:f>IF(COUNT(P29:Q29)=2,ROUND(P29*'Method &amp; assumptions'!$B$7+Q29,2),"")</x:f>
      </x:c>
      <x:c r="S29" s="34" t="str">
        <x:f>IF(R29="","",ROUND(R29+'Method &amp; assumptions'!$B$8*'Method &amp; assumptions'!$B$7+'Method &amp; assumptions'!$B$9,2))</x:f>
      </x:c>
      <x:c r="T29" t="str">
        <x:v>Citrea Santander</x:v>
      </x:c>
      <x:c r="U29" t="n">
        <x:v>9.2</x:v>
      </x:c>
      <x:c r="V29" t="str">
        <x:v>FR5631 / RK5632</x:v>
      </x:c>
      <x:c r="W29" t="str">
        <x:v>No date-specific fare yet</x:v>
      </x:c>
      <x:c r="X29" t="str">
        <x:v>https://www.flightsfrom.com/EDI</x:v>
      </x:c>
      <x:c r="Y29" t="str">
        <x:v>https://www.booking.com/hotel/es/citrea-santander.html?checkin=2027-01-17&amp;checkout=2027-01-21&amp;group_adults=2&amp;no_rooms=1</x:v>
      </x:c>
      <x:c r="Z29" t="str">
        <x:v>Seafood and coast; wet winter likely</x:v>
      </x:c>
    </x:row>
    <x:row r="30" ht="23" customHeight="1">
      <x:c r="A30" t="str">
        <x:v>EU024</x:v>
      </x:c>
      <x:c r="B30" s="22" t="str">
        <x:v>Málaga</x:v>
      </x:c>
      <x:c r="C30" t="str">
        <x:v>Spain</x:v>
      </x:c>
      <x:c r="D30" t="str">
        <x:v>Mild / coast</x:v>
      </x:c>
      <x:c r="E30" t="str">
        <x:v>Scheduled direct pair in uploaded file</x:v>
      </x:c>
      <x:c r="F30" t="str">
        <x:v>EDI</x:v>
      </x:c>
      <x:c r="G30" t="str">
        <x:v>AGP</x:v>
      </x:c>
      <x:c r="H30" s="28" t="n">
        <x:v>18</x:v>
      </x:c>
      <x:c r="I30" s="28" t="n">
        <x:v>22</x:v>
      </x:c>
      <x:c r="J30" s="28" t="n">
        <x:f>I30-H30</x:f>
        <x:v>4</x:v>
      </x:c>
      <x:c r="K30" t="str">
        <x:v>09:15</x:v>
      </x:c>
      <x:c r="L30" t="str">
        <x:v>13:40</x:v>
      </x:c>
      <x:c r="M30" t="str">
        <x:v>15:35</x:v>
      </x:c>
      <x:c r="N30" t="str">
        <x:v>18:05</x:v>
      </x:c>
      <x:c r="O30" s="26" t="n">
        <x:v>97.9</x:v>
      </x:c>
      <x:c r="P30" s="32"/>
      <x:c r="Q30" s="32" t="n">
        <x:v>225.08</x:v>
      </x:c>
      <x:c r="R30" s="34" t="str">
        <x:f>IF(COUNT(P30:Q30)=2,ROUND(P30*'Method &amp; assumptions'!$B$7+Q30,2),"")</x:f>
      </x:c>
      <x:c r="S30" s="34" t="str">
        <x:f>IF(R30="","",ROUND(R30+'Method &amp; assumptions'!$B$8*'Method &amp; assumptions'!$B$7+'Method &amp; assumptions'!$B$9,2))</x:f>
      </x:c>
      <x:c r="T30" t="str">
        <x:v>Apartamentos Pinar Málaga Centro</x:v>
      </x:c>
      <x:c r="U30" t="n">
        <x:v>8.8</x:v>
      </x:c>
      <x:c r="V30" t="str">
        <x:v>LS759 / LS760</x:v>
      </x:c>
      <x:c r="W30" t="str">
        <x:v>No date-specific fare yet</x:v>
      </x:c>
      <x:c r="X30" t="str">
        <x:v>https://www.flightsfrom.com/EDI</x:v>
      </x:c>
      <x:c r="Y30" t="str">
        <x:v>https://www.booking.com/hotel/es/apartamento-marmoles-m1-centro.html?checkin=2027-01-18&amp;checkout=2027-01-22&amp;group_adults=2&amp;no_rooms=1</x:v>
      </x:c>
      <x:c r="Z30" t="str">
        <x:v>Warmest city option; seafood, museums and tapas</x:v>
      </x:c>
    </x:row>
    <x:row r="31" ht="23" customHeight="1">
      <x:c r="A31" t="str">
        <x:v>EU025</x:v>
      </x:c>
      <x:c r="B31" s="22" t="str">
        <x:v>Istanbul</x:v>
      </x:c>
      <x:c r="C31" t="str">
        <x:v>Turkey</x:v>
      </x:c>
      <x:c r="D31" t="str">
        <x:v>History / food</x:v>
      </x:c>
      <x:c r="E31" t="str">
        <x:v>Scheduled direct pair in uploaded file</x:v>
      </x:c>
      <x:c r="F31" t="str">
        <x:v>EDI</x:v>
      </x:c>
      <x:c r="G31" t="str">
        <x:v>IST</x:v>
      </x:c>
      <x:c r="H31" s="28" t="n">
        <x:v>17</x:v>
      </x:c>
      <x:c r="I31" s="28" t="n">
        <x:v>21</x:v>
      </x:c>
      <x:c r="J31" s="28" t="n">
        <x:f>I31-H31</x:f>
        <x:v>4</x:v>
      </x:c>
      <x:c r="K31" t="str">
        <x:v>10:40</x:v>
      </x:c>
      <x:c r="L31" t="str">
        <x:v>18:10</x:v>
      </x:c>
      <x:c r="M31" t="str">
        <x:v>13:50</x:v>
      </x:c>
      <x:c r="N31" t="str">
        <x:v>15:20</x:v>
      </x:c>
      <x:c r="O31" s="26" t="n">
        <x:v>91.7</x:v>
      </x:c>
      <x:c r="P31" s="32"/>
      <x:c r="Q31" s="32" t="n">
        <x:v>225.13</x:v>
      </x:c>
      <x:c r="R31" s="34" t="str">
        <x:f>IF(COUNT(P31:Q31)=2,ROUND(P31*'Method &amp; assumptions'!$B$7+Q31,2),"")</x:f>
      </x:c>
      <x:c r="S31" s="34" t="str">
        <x:f>IF(R31="","",ROUND(R31+'Method &amp; assumptions'!$B$8*'Method &amp; assumptions'!$B$7+'Method &amp; assumptions'!$B$9,2))</x:f>
      </x:c>
      <x:c r="T31" t="str">
        <x:v>Peyk Hotel Sultanahmet</x:v>
      </x:c>
      <x:c r="U31" t="n">
        <x:v>9</x:v>
      </x:c>
      <x:c r="V31" t="str">
        <x:v>TK1344 / TK1345</x:v>
      </x:c>
      <x:c r="W31" t="str">
        <x:v>No date-specific fare yet</x:v>
      </x:c>
      <x:c r="X31" t="str">
        <x:v>https://www.flightsfrom.com/EDI</x:v>
      </x:c>
      <x:c r="Y31" t="str">
        <x:v>https://www.booking.com/hotel/tr/peyk.html?checkin=2027-01-17&amp;checkout=2027-01-21&amp;group_adults=2&amp;no_rooms=1</x:v>
      </x:c>
      <x:c r="Z31" t="str">
        <x:v>Historic sites, food and ferries; recent visit may reduce novelty</x:v>
      </x:c>
    </x:row>
    <x:row r="32" ht="23" customHeight="1">
      <x:c r="A32" t="str">
        <x:v>EU026</x:v>
      </x:c>
      <x:c r="B32" s="22" t="str">
        <x:v>Helsinki</x:v>
      </x:c>
      <x:c r="C32" t="str">
        <x:v>Finland</x:v>
      </x:c>
      <x:c r="D32" t="str">
        <x:v>Nordic winter</x:v>
      </x:c>
      <x:c r="E32" t="str">
        <x:v>Scheduled direct pair in uploaded file</x:v>
      </x:c>
      <x:c r="F32" t="str">
        <x:v>EDI</x:v>
      </x:c>
      <x:c r="G32" t="str">
        <x:v>HEL</x:v>
      </x:c>
      <x:c r="H32" s="28" t="n">
        <x:v>18</x:v>
      </x:c>
      <x:c r="I32" s="28" t="n">
        <x:v>22</x:v>
      </x:c>
      <x:c r="J32" s="28" t="n">
        <x:f>I32-H32</x:f>
        <x:v>4</x:v>
      </x:c>
      <x:c r="K32" t="str">
        <x:v>10:25</x:v>
      </x:c>
      <x:c r="L32" t="str">
        <x:v>15:00</x:v>
      </x:c>
      <x:c r="M32" t="str">
        <x:v>16:55</x:v>
      </x:c>
      <x:c r="N32" t="str">
        <x:v>17:50</x:v>
      </x:c>
      <x:c r="O32" s="26" t="n">
        <x:v>97.9</x:v>
      </x:c>
      <x:c r="P32" s="32"/>
      <x:c r="Q32" s="32" t="n">
        <x:v>238.8</x:v>
      </x:c>
      <x:c r="R32" s="34" t="str">
        <x:f>IF(COUNT(P32:Q32)=2,ROUND(P32*'Method &amp; assumptions'!$B$7+Q32,2),"")</x:f>
      </x:c>
      <x:c r="S32" s="34" t="str">
        <x:f>IF(R32="","",ROUND(R32+'Method &amp; assumptions'!$B$8*'Method &amp; assumptions'!$B$7+'Method &amp; assumptions'!$B$9,2))</x:f>
      </x:c>
      <x:c r="T32" t="str">
        <x:v>Bob W Helsinki Kaarti</x:v>
      </x:c>
      <x:c r="U32" t="n">
        <x:v>9.1</x:v>
      </x:c>
      <x:c r="V32" t="str">
        <x:v>AY1372 / AY1373</x:v>
      </x:c>
      <x:c r="W32" t="str">
        <x:v>No date-specific fare yet</x:v>
      </x:c>
      <x:c r="X32" t="str">
        <x:v>https://www.flightsfrom.com/EDI</x:v>
      </x:c>
      <x:c r="Y32" t="str">
        <x:v>https://www.booking.com/hotel/fi/bob-w-kaarti-helsinki.html?checkin=2027-01-18&amp;checkout=2027-01-22&amp;group_adults=2&amp;no_rooms=1</x:v>
      </x:c>
      <x:c r="Z32" t="str">
        <x:v>Saunas, design, architecture; very cold and short daylight</x:v>
      </x:c>
    </x:row>
    <x:row r="33" ht="23" customHeight="1">
      <x:c r="A33" t="str">
        <x:v>EU027</x:v>
      </x:c>
      <x:c r="B33" s="22" t="str">
        <x:v>Alicante</x:v>
      </x:c>
      <x:c r="C33" t="str">
        <x:v>Spain</x:v>
      </x:c>
      <x:c r="D33" t="str">
        <x:v>Mild / coast</x:v>
      </x:c>
      <x:c r="E33" t="str">
        <x:v>Scheduled direct pair in uploaded file</x:v>
      </x:c>
      <x:c r="F33" t="str">
        <x:v>GLA</x:v>
      </x:c>
      <x:c r="G33" t="str">
        <x:v>ALC</x:v>
      </x:c>
      <x:c r="H33" s="28" t="n">
        <x:v>18</x:v>
      </x:c>
      <x:c r="I33" s="28" t="n">
        <x:v>22</x:v>
      </x:c>
      <x:c r="J33" s="28" t="n">
        <x:f>I33-H33</x:f>
        <x:v>4</x:v>
      </x:c>
      <x:c r="K33" t="str">
        <x:v>10:50</x:v>
      </x:c>
      <x:c r="L33" t="str">
        <x:v>14:55</x:v>
      </x:c>
      <x:c r="M33" t="str">
        <x:v>13:20</x:v>
      </x:c>
      <x:c r="N33" t="str">
        <x:v>15:30</x:v>
      </x:c>
      <x:c r="O33" s="26" t="n">
        <x:v>94.4</x:v>
      </x:c>
      <x:c r="P33" s="32"/>
      <x:c r="Q33" s="32" t="n">
        <x:v>254.57</x:v>
      </x:c>
      <x:c r="R33" s="34" t="str">
        <x:f>IF(COUNT(P33:Q33)=2,ROUND(P33*'Method &amp; assumptions'!$B$7+Q33,2),"")</x:f>
      </x:c>
      <x:c r="S33" s="34" t="str">
        <x:f>IF(R33="","",ROUND(R33+'Method &amp; assumptions'!$B$8*'Method &amp; assumptions'!$B$7+'Method &amp; assumptions'!$B$9,2))</x:f>
      </x:c>
      <x:c r="T33" t="str">
        <x:v>Occidental Alicante</x:v>
      </x:c>
      <x:c r="U33" t="n">
        <x:v>8.4</x:v>
      </x:c>
      <x:c r="V33" t="str">
        <x:v>FR2522 / FR2521</x:v>
      </x:c>
      <x:c r="W33" t="str">
        <x:v>No date-specific fare yet</x:v>
      </x:c>
      <x:c r="X33" t="str">
        <x:v>https://www.flightsfrom.com/GLA</x:v>
      </x:c>
      <x:c r="Y33" t="str">
        <x:v>https://www.booking.com/hotel/es/nhrambla-de-alicante.html?checkin=2027-01-18&amp;checkout=2027-01-22&amp;group_adults=2&amp;no_rooms=1</x:v>
      </x:c>
      <x:c r="Z33" t="str">
        <x:v>Mild coast and waterfront; good restaurants</x:v>
      </x:c>
    </x:row>
    <x:row r="34" ht="23" customHeight="1">
      <x:c r="A34" t="str">
        <x:v>EU028</x:v>
      </x:c>
      <x:c r="B34" s="22" t="str">
        <x:v>Venice</x:v>
      </x:c>
      <x:c r="C34" t="str">
        <x:v>Italy</x:v>
      </x:c>
      <x:c r="D34" t="str">
        <x:v>Romantic / historic</x:v>
      </x:c>
      <x:c r="E34" t="str">
        <x:v>Scheduled direct pair in uploaded file</x:v>
      </x:c>
      <x:c r="F34" t="str">
        <x:v>EDI</x:v>
      </x:c>
      <x:c r="G34" t="str">
        <x:v>VCE</x:v>
      </x:c>
      <x:c r="H34" s="28" t="n">
        <x:v>18</x:v>
      </x:c>
      <x:c r="I34" s="28" t="n">
        <x:v>22</x:v>
      </x:c>
      <x:c r="J34" s="28" t="n">
        <x:f>I34-H34</x:f>
        <x:v>4</x:v>
      </x:c>
      <x:c r="K34" t="str">
        <x:v>07:40</x:v>
      </x:c>
      <x:c r="L34" t="str">
        <x:v>11:15</x:v>
      </x:c>
      <x:c r="M34" t="str">
        <x:v>17:10</x:v>
      </x:c>
      <x:c r="N34" t="str">
        <x:v>18:55</x:v>
      </x:c>
      <x:c r="O34" s="26" t="n">
        <x:v>101.9</x:v>
      </x:c>
      <x:c r="P34" s="32"/>
      <x:c r="Q34" s="32" t="n">
        <x:v>262.92</x:v>
      </x:c>
      <x:c r="R34" s="34" t="str">
        <x:f>IF(COUNT(P34:Q34)=2,ROUND(P34*'Method &amp; assumptions'!$B$7+Q34,2),"")</x:f>
      </x:c>
      <x:c r="S34" s="34" t="str">
        <x:f>IF(R34="","",ROUND(R34+'Method &amp; assumptions'!$B$8*'Method &amp; assumptions'!$B$7+'Method &amp; assumptions'!$B$9,2))</x:f>
      </x:c>
      <x:c r="T34" t="str">
        <x:v>Albergo Marin</x:v>
      </x:c>
      <x:c r="U34" t="n">
        <x:v>8.7</x:v>
      </x:c>
      <x:c r="V34" t="str">
        <x:v>FR1652 / FR1653</x:v>
      </x:c>
      <x:c r="W34" t="str">
        <x:v>No date-specific fare yet</x:v>
      </x:c>
      <x:c r="X34" t="str">
        <x:v>https://www.flightsfrom.com/EDI</x:v>
      </x:c>
      <x:c r="Y34" t="str">
        <x:v>https://www.booking.com/hotel/it/albergo-marin.html?checkin=2027-01-18&amp;checkout=2027-01-22&amp;group_adults=2&amp;no_rooms=1</x:v>
      </x:c>
      <x:c r="Z34" t="str">
        <x:v>Uncrowded winter lanes and canals; possible acqua alta</x:v>
      </x:c>
    </x:row>
    <x:row r="35" ht="23" customHeight="1">
      <x:c r="A35" t="str">
        <x:v>EU029</x:v>
      </x:c>
      <x:c r="B35" s="22" t="str">
        <x:v>Amsterdam</x:v>
      </x:c>
      <x:c r="C35" t="str">
        <x:v>Netherlands</x:v>
      </x:c>
      <x:c r="D35" t="str">
        <x:v>Culture / cafés</x:v>
      </x:c>
      <x:c r="E35" t="str">
        <x:v>Scheduled direct pair in uploaded file</x:v>
      </x:c>
      <x:c r="F35" t="str">
        <x:v>GLA</x:v>
      </x:c>
      <x:c r="G35" t="str">
        <x:v>AMS</x:v>
      </x:c>
      <x:c r="H35" s="28" t="n">
        <x:v>18</x:v>
      </x:c>
      <x:c r="I35" s="28" t="n">
        <x:v>22</x:v>
      </x:c>
      <x:c r="J35" s="28" t="n">
        <x:f>I35-H35</x:f>
        <x:v>4</x:v>
      </x:c>
      <x:c r="K35" t="str">
        <x:v>05:40</x:v>
      </x:c>
      <x:c r="L35" t="str">
        <x:v>08:20</x:v>
      </x:c>
      <x:c r="M35" t="str">
        <x:v>16:00</x:v>
      </x:c>
      <x:c r="N35" t="str">
        <x:v>16:30</x:v>
      </x:c>
      <x:c r="O35" s="26" t="n">
        <x:v>103.7</x:v>
      </x:c>
      <x:c r="P35" s="32"/>
      <x:c r="Q35" s="32" t="n">
        <x:v>267.15</x:v>
      </x:c>
      <x:c r="R35" s="34" t="str">
        <x:f>IF(COUNT(P35:Q35)=2,ROUND(P35*'Method &amp; assumptions'!$B$7+Q35,2),"")</x:f>
      </x:c>
      <x:c r="S35" s="34" t="str">
        <x:f>IF(R35="","",ROUND(R35+'Method &amp; assumptions'!$B$8*'Method &amp; assumptions'!$B$7+'Method &amp; assumptions'!$B$9,2))</x:f>
      </x:c>
      <x:c r="T35" t="str">
        <x:v>Hotel2Stay</x:v>
      </x:c>
      <x:c r="U35" t="n">
        <x:v>8.8</x:v>
      </x:c>
      <x:c r="V35" t="str">
        <x:v>KL934 / KL941</x:v>
      </x:c>
      <x:c r="W35" t="str">
        <x:v>No date-specific fare yet</x:v>
      </x:c>
      <x:c r="X35" t="str">
        <x:v>https://www.flightsfrom.com/GLA</x:v>
      </x:c>
      <x:c r="Y35" t="str">
        <x:v>https://www.booking.com/hotel/nl/hotel2stay.html?checkin=2027-01-18&amp;checkout=2027-01-22&amp;group_adults=2&amp;no_rooms=1</x:v>
      </x:c>
      <x:c r="Z35" t="str">
        <x:v>Museums, canals and cosy brown cafés; pricier daily spend</x:v>
      </x:c>
    </x:row>
    <x:row r="36" ht="23" customHeight="1">
      <x:c r="A36" t="str">
        <x:v>EU030</x:v>
      </x:c>
      <x:c r="B36" s="22" t="str">
        <x:v>Lanzarote</x:v>
      </x:c>
      <x:c r="C36" t="str">
        <x:v>Spain (Canaries)</x:v>
      </x:c>
      <x:c r="D36" t="str">
        <x:v>Winter sun</x:v>
      </x:c>
      <x:c r="E36" t="str">
        <x:v>Scheduled direct pair in uploaded file</x:v>
      </x:c>
      <x:c r="F36" t="str">
        <x:v>GLA</x:v>
      </x:c>
      <x:c r="G36" t="str">
        <x:v>ACE</x:v>
      </x:c>
      <x:c r="H36" s="28" t="n">
        <x:v>18</x:v>
      </x:c>
      <x:c r="I36" s="28" t="n">
        <x:v>22</x:v>
      </x:c>
      <x:c r="J36" s="28" t="n">
        <x:f>I36-H36</x:f>
        <x:v>4</x:v>
      </x:c>
      <x:c r="K36" t="str">
        <x:v>10:30</x:v>
      </x:c>
      <x:c r="L36" t="str">
        <x:v>15:10</x:v>
      </x:c>
      <x:c r="M36" t="str">
        <x:v>15:10</x:v>
      </x:c>
      <x:c r="N36" t="str">
        <x:v>19:45</x:v>
      </x:c>
      <x:c r="O36" s="26" t="n">
        <x:v>96</x:v>
      </x:c>
      <x:c r="P36" s="32"/>
      <x:c r="Q36" s="32" t="n">
        <x:v>284.87</x:v>
      </x:c>
      <x:c r="R36" s="34" t="str">
        <x:f>IF(COUNT(P36:Q36)=2,ROUND(P36*'Method &amp; assumptions'!$B$7+Q36,2),"")</x:f>
      </x:c>
      <x:c r="S36" s="34" t="str">
        <x:f>IF(R36="","",ROUND(R36+'Method &amp; assumptions'!$B$8*'Method &amp; assumptions'!$B$7+'Method &amp; assumptions'!$B$9,2))</x:f>
      </x:c>
      <x:c r="T36" t="str">
        <x:v>Apartamento Tierra y Mar 1</x:v>
      </x:c>
      <x:c r="U36" t="n">
        <x:v>9.4</x:v>
      </x:c>
      <x:c r="V36" t="str">
        <x:v>LS167 / LS170</x:v>
      </x:c>
      <x:c r="W36" t="str">
        <x:v>No date-specific fare yet</x:v>
      </x:c>
      <x:c r="X36" t="str">
        <x:v>https://www.flightsfrom.com/GLA</x:v>
      </x:c>
      <x:c r="Y36" t="str">
        <x:v>https://www.booking.com/hotel/es/enjoy-arrecife.html?checkin=2027-01-18&amp;checkout=2027-01-22&amp;group_adults=2&amp;no_rooms=1</x:v>
      </x:c>
      <x:c r="Z36" t="str">
        <x:v>Volcanic landscapes, sun; car helps explore</x:v>
      </x:c>
    </x:row>
    <x:row r="37" ht="23" customHeight="1">
      <x:c r="A37" t="str">
        <x:v>EU031</x:v>
      </x:c>
      <x:c r="B37" s="22" t="str">
        <x:v>Gran Canaria</x:v>
      </x:c>
      <x:c r="C37" t="str">
        <x:v>Spain (Canaries)</x:v>
      </x:c>
      <x:c r="D37" t="str">
        <x:v>Winter sun</x:v>
      </x:c>
      <x:c r="E37" t="str">
        <x:v>Scheduled direct pair in uploaded file</x:v>
      </x:c>
      <x:c r="F37" t="str">
        <x:v>EDI</x:v>
      </x:c>
      <x:c r="G37" t="str">
        <x:v>LPA</x:v>
      </x:c>
      <x:c r="H37" s="28" t="n">
        <x:v>18</x:v>
      </x:c>
      <x:c r="I37" s="28" t="n">
        <x:v>22</x:v>
      </x:c>
      <x:c r="J37" s="28" t="n">
        <x:f>I37-H37</x:f>
        <x:v>4</x:v>
      </x:c>
      <x:c r="K37" t="str">
        <x:v>08:45</x:v>
      </x:c>
      <x:c r="L37" t="str">
        <x:v>13:35</x:v>
      </x:c>
      <x:c r="M37" t="str">
        <x:v>14:40</x:v>
      </x:c>
      <x:c r="N37" t="str">
        <x:v>19:30</x:v>
      </x:c>
      <x:c r="O37" s="26" t="n">
        <x:v>97.1</x:v>
      </x:c>
      <x:c r="P37" s="32"/>
      <x:c r="Q37" s="32" t="n">
        <x:v>294.7</x:v>
      </x:c>
      <x:c r="R37" s="34" t="str">
        <x:f>IF(COUNT(P37:Q37)=2,ROUND(P37*'Method &amp; assumptions'!$B$7+Q37,2),"")</x:f>
      </x:c>
      <x:c r="S37" s="34" t="str">
        <x:f>IF(R37="","",ROUND(R37+'Method &amp; assumptions'!$B$8*'Method &amp; assumptions'!$B$7+'Method &amp; assumptions'!$B$9,2))</x:f>
      </x:c>
      <x:c r="T37" t="str">
        <x:v>Gran Marina Suites (Las Palmas)</x:v>
      </x:c>
      <x:c r="U37" t="n">
        <x:v>9.2</x:v>
      </x:c>
      <x:c r="V37" t="str">
        <x:v>LS747 / LS716</x:v>
      </x:c>
      <x:c r="W37" t="str">
        <x:v>No date-specific fare yet</x:v>
      </x:c>
      <x:c r="X37" t="str">
        <x:v>https://www.flightsfrom.com/EDI</x:v>
      </x:c>
      <x:c r="Y37" t="str">
        <x:v>https://www.booking.com/hotel/es/gran-marina-suites.html?checkin=2027-01-18&amp;checkout=2027-01-22&amp;group_adults=2&amp;no_rooms=1</x:v>
      </x:c>
      <x:c r="Z37" t="str">
        <x:v>Las Palmas city or southern resort; warm and much drier</x:v>
      </x:c>
    </x:row>
    <x:row r="38" ht="23" customHeight="1">
      <x:c r="A38" t="str">
        <x:v>EU032</x:v>
      </x:c>
      <x:c r="B38" s="22" t="str">
        <x:v>Madrid</x:v>
      </x:c>
      <x:c r="C38" t="str">
        <x:v>Spain</x:v>
      </x:c>
      <x:c r="D38" t="str">
        <x:v>Culture / food</x:v>
      </x:c>
      <x:c r="E38" t="str">
        <x:v>Scheduled direct pair in uploaded file</x:v>
      </x:c>
      <x:c r="F38" t="str">
        <x:v>EDI</x:v>
      </x:c>
      <x:c r="G38" t="str">
        <x:v>MAD</x:v>
      </x:c>
      <x:c r="H38" s="28" t="n">
        <x:v>18</x:v>
      </x:c>
      <x:c r="I38" s="28" t="n">
        <x:v>22</x:v>
      </x:c>
      <x:c r="J38" s="28" t="n">
        <x:f>I38-H38</x:f>
        <x:v>4</x:v>
      </x:c>
      <x:c r="K38" t="str">
        <x:v>10:00</x:v>
      </x:c>
      <x:c r="L38" t="str">
        <x:v>13:55</x:v>
      </x:c>
      <x:c r="M38" t="str">
        <x:v>18:45</x:v>
      </x:c>
      <x:c r="N38" t="str">
        <x:v>20:45</x:v>
      </x:c>
      <x:c r="O38" s="26" t="n">
        <x:v>100.8</x:v>
      </x:c>
      <x:c r="P38" s="32"/>
      <x:c r="Q38" s="32" t="n">
        <x:v>298.28</x:v>
      </x:c>
      <x:c r="R38" s="34" t="str">
        <x:f>IF(COUNT(P38:Q38)=2,ROUND(P38*'Method &amp; assumptions'!$B$7+Q38,2),"")</x:f>
      </x:c>
      <x:c r="S38" s="34" t="str">
        <x:f>IF(R38="","",ROUND(R38+'Method &amp; assumptions'!$B$8*'Method &amp; assumptions'!$B$7+'Method &amp; assumptions'!$B$9,2))</x:f>
      </x:c>
      <x:c r="T38" t="str">
        <x:v>Hostal Palacio Madrid</x:v>
      </x:c>
      <x:c r="U38" t="n">
        <x:v>8.2</x:v>
      </x:c>
      <x:c r="V38" t="str">
        <x:v>FR189 / U23210</x:v>
      </x:c>
      <x:c r="W38" t="str">
        <x:v>No date-specific fare yet</x:v>
      </x:c>
      <x:c r="X38" t="str">
        <x:v>https://www.flightsfrom.com/EDI</x:v>
      </x:c>
      <x:c r="Y38" t="str">
        <x:v>https://www.booking.com/hotel/es/hostal-regional.html?checkin=2027-01-18&amp;checkout=2027-01-22&amp;group_adults=2&amp;no_rooms=1</x:v>
      </x:c>
      <x:c r="Z38" t="str">
        <x:v>Outstanding art museums and food; good winter city</x:v>
      </x:c>
    </x:row>
    <x:row r="39" ht="23" customHeight="1">
      <x:c r="A39" t="str">
        <x:v>EU033</x:v>
      </x:c>
      <x:c r="B39" s="22" t="str">
        <x:v>Barcelona</x:v>
      </x:c>
      <x:c r="C39" t="str">
        <x:v>Spain</x:v>
      </x:c>
      <x:c r="D39" t="str">
        <x:v>Culture / food</x:v>
      </x:c>
      <x:c r="E39" t="str">
        <x:v>Scheduled direct pair in uploaded file</x:v>
      </x:c>
      <x:c r="F39" t="str">
        <x:v>EDI</x:v>
      </x:c>
      <x:c r="G39" t="str">
        <x:v>BCN</x:v>
      </x:c>
      <x:c r="H39" s="28" t="n">
        <x:v>17</x:v>
      </x:c>
      <x:c r="I39" s="28" t="n">
        <x:v>21</x:v>
      </x:c>
      <x:c r="J39" s="28" t="n">
        <x:f>I39-H39</x:f>
        <x:v>4</x:v>
      </x:c>
      <x:c r="K39" t="str">
        <x:v>08:15</x:v>
      </x:c>
      <x:c r="L39" t="str">
        <x:v>11:55</x:v>
      </x:c>
      <x:c r="M39" t="str">
        <x:v>17:25</x:v>
      </x:c>
      <x:c r="N39" t="str">
        <x:v>19:20</x:v>
      </x:c>
      <x:c r="O39" s="26" t="n">
        <x:v>101.5</x:v>
      </x:c>
      <x:c r="P39" s="32"/>
      <x:c r="Q39" s="32" t="n">
        <x:v>300.76</x:v>
      </x:c>
      <x:c r="R39" s="34" t="str">
        <x:f>IF(COUNT(P39:Q39)=2,ROUND(P39*'Method &amp; assumptions'!$B$7+Q39,2),"")</x:f>
      </x:c>
      <x:c r="S39" s="34" t="str">
        <x:f>IF(R39="","",ROUND(R39+'Method &amp; assumptions'!$B$8*'Method &amp; assumptions'!$B$7+'Method &amp; assumptions'!$B$9,2))</x:f>
      </x:c>
      <x:c r="T39" t="str">
        <x:v>Hostal la Palmera</x:v>
      </x:c>
      <x:c r="U39" t="n">
        <x:v>8.8</x:v>
      </x:c>
      <x:c r="V39" t="str">
        <x:v>FR6266 / FR6267</x:v>
      </x:c>
      <x:c r="W39" t="str">
        <x:v>No date-specific fare yet</x:v>
      </x:c>
      <x:c r="X39" t="str">
        <x:v>https://www.flightsfrom.com/EDI</x:v>
      </x:c>
      <x:c r="Y39" t="str">
        <x:v>https://www.booking.com/hotel/es/hostal-la-palmera.html?checkin=2027-01-17&amp;checkout=2027-01-21&amp;group_adults=2&amp;no_rooms=1</x:v>
      </x:c>
      <x:c r="Z39" t="str">
        <x:v>Gaudí, food markets, architecture; winter sightseeing</x:v>
      </x:c>
    </x:row>
    <x:row r="40" ht="23" customHeight="1">
      <x:c r="A40" t="str">
        <x:v>EU034</x:v>
      </x:c>
      <x:c r="B40" s="22" t="str">
        <x:v>Brussels Charleroi</x:v>
      </x:c>
      <x:c r="C40" t="str">
        <x:v>Belgium</x:v>
      </x:c>
      <x:c r="D40" t="str">
        <x:v>Belgian cities</x:v>
      </x:c>
      <x:c r="E40" t="str">
        <x:v>Scheduled direct pair in uploaded file</x:v>
      </x:c>
      <x:c r="F40" t="str">
        <x:v>EDI</x:v>
      </x:c>
      <x:c r="G40" t="str">
        <x:v>CRL</x:v>
      </x:c>
      <x:c r="H40" s="28" t="n">
        <x:v>18</x:v>
      </x:c>
      <x:c r="I40" s="28" t="n">
        <x:v>22</x:v>
      </x:c>
      <x:c r="J40" s="28" t="n">
        <x:f>I40-H40</x:f>
        <x:v>4</x:v>
      </x:c>
      <x:c r="K40" t="str">
        <x:v>07:35</x:v>
      </x:c>
      <x:c r="L40" t="str">
        <x:v>10:20</x:v>
      </x:c>
      <x:c r="M40" t="str">
        <x:v>16:15</x:v>
      </x:c>
      <x:c r="N40" t="str">
        <x:v>16:55</x:v>
      </x:c>
      <x:c r="O40" s="26" t="n">
        <x:v>101.9</x:v>
      </x:c>
      <x:c r="P40" s="32"/>
      <x:c r="Q40" s="32" t="n">
        <x:v>309.44</x:v>
      </x:c>
      <x:c r="R40" s="34" t="str">
        <x:f>IF(COUNT(P40:Q40)=2,ROUND(P40*'Method &amp; assumptions'!$B$7+Q40,2),"")</x:f>
      </x:c>
      <x:c r="S40" s="34" t="str">
        <x:f>IF(R40="","",ROUND(R40+'Method &amp; assumptions'!$B$8*'Method &amp; assumptions'!$B$7+'Method &amp; assumptions'!$B$9,2))</x:f>
      </x:c>
      <x:c r="T40" t="str">
        <x:v>Lovely condo next to European Area (Brussels)</x:v>
      </x:c>
      <x:c r="U40" t="n">
        <x:v>8.8</x:v>
      </x:c>
      <x:c r="V40" t="str">
        <x:v>FR7322 / FR7353</x:v>
      </x:c>
      <x:c r="W40" t="str">
        <x:v>No date-specific fare yet</x:v>
      </x:c>
      <x:c r="X40" t="str">
        <x:v>https://www.flightsfrom.com/EDI</x:v>
      </x:c>
      <x:c r="Y40" t="str">
        <x:v>https://www.booking.com/hotel/be/lovely-condo-next-to-european-area.html?checkin=2027-01-18&amp;checkout=2027-01-22&amp;group_adults=2&amp;no_rooms=1</x:v>
      </x:c>
      <x:c r="Z40" t="str">
        <x:v>Use Brussels/Bruges/Ghent; Charleroi transfer adds time/cost</x:v>
      </x:c>
    </x:row>
    <x:row r="41" ht="23" customHeight="1">
      <x:c r="A41" t="str">
        <x:v>EU035</x:v>
      </x:c>
      <x:c r="B41" s="22" t="str">
        <x:v>Amsterdam</x:v>
      </x:c>
      <x:c r="C41" t="str">
        <x:v>Netherlands</x:v>
      </x:c>
      <x:c r="D41" t="str">
        <x:v>Culture / cafés</x:v>
      </x:c>
      <x:c r="E41" t="str">
        <x:v>Scheduled direct pair in uploaded file</x:v>
      </x:c>
      <x:c r="F41" t="str">
        <x:v>GLA</x:v>
      </x:c>
      <x:c r="G41" t="str">
        <x:v>AMS</x:v>
      </x:c>
      <x:c r="H41" s="28" t="n">
        <x:v>17</x:v>
      </x:c>
      <x:c r="I41" s="28" t="n">
        <x:v>22</x:v>
      </x:c>
      <x:c r="J41" s="28" t="n">
        <x:f>I41-H41</x:f>
        <x:v>5</x:v>
      </x:c>
      <x:c r="K41" t="str">
        <x:v>05:40</x:v>
      </x:c>
      <x:c r="L41" t="str">
        <x:v>08:20</x:v>
      </x:c>
      <x:c r="M41" t="str">
        <x:v>16:00</x:v>
      </x:c>
      <x:c r="N41" t="str">
        <x:v>16:30</x:v>
      </x:c>
      <x:c r="O41" s="26" t="n">
        <x:v>127.7</x:v>
      </x:c>
      <x:c r="P41" s="32"/>
      <x:c r="Q41" s="32" t="n">
        <x:v>327.66</x:v>
      </x:c>
      <x:c r="R41" s="34" t="str">
        <x:f>IF(COUNT(P41:Q41)=2,ROUND(P41*'Method &amp; assumptions'!$B$7+Q41,2),"")</x:f>
      </x:c>
      <x:c r="S41" s="34" t="str">
        <x:f>IF(R41="","",ROUND(R41+'Method &amp; assumptions'!$B$8*'Method &amp; assumptions'!$B$7+'Method &amp; assumptions'!$B$9,2))</x:f>
      </x:c>
      <x:c r="T41" t="str">
        <x:v>Hotel2Stay</x:v>
      </x:c>
      <x:c r="U41" t="n">
        <x:v>8.8</x:v>
      </x:c>
      <x:c r="V41" t="str">
        <x:v>KL934 / KL941</x:v>
      </x:c>
      <x:c r="W41" t="str">
        <x:v>No date-specific fare yet</x:v>
      </x:c>
      <x:c r="X41" t="str">
        <x:v>https://www.flightsfrom.com/GLA</x:v>
      </x:c>
      <x:c r="Y41" t="str">
        <x:v>https://www.booking.com/hotel/nl/hotel2stay.html?checkin=2027-01-17&amp;checkout=2027-01-22&amp;group_adults=2&amp;no_rooms=1</x:v>
      </x:c>
      <x:c r="Z41" t="str">
        <x:v>Museums, canals and cosy brown cafés; pricier daily spend</x:v>
      </x:c>
    </x:row>
    <x:row r="42" ht="23" customHeight="1">
      <x:c r="A42" t="str">
        <x:v>EU036</x:v>
      </x:c>
      <x:c r="B42" s="22" t="str">
        <x:v>Madrid</x:v>
      </x:c>
      <x:c r="C42" t="str">
        <x:v>Spain</x:v>
      </x:c>
      <x:c r="D42" t="str">
        <x:v>Culture / food</x:v>
      </x:c>
      <x:c r="E42" t="str">
        <x:v>Scheduled direct pair in uploaded file</x:v>
      </x:c>
      <x:c r="F42" t="str">
        <x:v>EDI</x:v>
      </x:c>
      <x:c r="G42" t="str">
        <x:v>MAD</x:v>
      </x:c>
      <x:c r="H42" s="28" t="n">
        <x:v>17</x:v>
      </x:c>
      <x:c r="I42" s="28" t="n">
        <x:v>22</x:v>
      </x:c>
      <x:c r="J42" s="28" t="n">
        <x:f>I42-H42</x:f>
        <x:v>5</x:v>
      </x:c>
      <x:c r="K42" t="str">
        <x:v>08:25</x:v>
      </x:c>
      <x:c r="L42" t="str">
        <x:v>12:20</x:v>
      </x:c>
      <x:c r="M42" t="str">
        <x:v>18:45</x:v>
      </x:c>
      <x:c r="N42" t="str">
        <x:v>20:45</x:v>
      </x:c>
      <x:c r="O42" s="26" t="n">
        <x:v>126.4</x:v>
      </x:c>
      <x:c r="P42" s="32"/>
      <x:c r="Q42" s="32" t="n">
        <x:v>350.14</x:v>
      </x:c>
      <x:c r="R42" s="34" t="str">
        <x:f>IF(COUNT(P42:Q42)=2,ROUND(P42*'Method &amp; assumptions'!$B$7+Q42,2),"")</x:f>
      </x:c>
      <x:c r="S42" s="34" t="str">
        <x:f>IF(R42="","",ROUND(R42+'Method &amp; assumptions'!$B$8*'Method &amp; assumptions'!$B$7+'Method &amp; assumptions'!$B$9,2))</x:f>
      </x:c>
      <x:c r="T42" t="str">
        <x:v>Dobo Madrid Palos</x:v>
      </x:c>
      <x:c r="U42" t="n">
        <x:v>8</x:v>
      </x:c>
      <x:c r="V42" t="str">
        <x:v>FR189 / U23210</x:v>
      </x:c>
      <x:c r="W42" t="str">
        <x:v>No date-specific fare yet</x:v>
      </x:c>
      <x:c r="X42" t="str">
        <x:v>https://www.flightsfrom.com/EDI</x:v>
      </x:c>
      <x:c r="Y42" t="str">
        <x:v>https://www.booking.com/hotel/es/dobo-homes-pf3.html?checkin=2027-01-17&amp;checkout=2027-01-22&amp;group_adults=2&amp;no_rooms=1</x:v>
      </x:c>
      <x:c r="Z42" t="str">
        <x:v>Outstanding art museums and food; good winter city</x:v>
      </x:c>
    </x:row>
    <x:row r="43" ht="23" customHeight="1">
      <x:c r="A43" t="str">
        <x:v>EU037</x:v>
      </x:c>
      <x:c r="B43" s="22" t="str">
        <x:v>Lanzarote</x:v>
      </x:c>
      <x:c r="C43" t="str">
        <x:v>Spain (Canaries)</x:v>
      </x:c>
      <x:c r="D43" t="str">
        <x:v>Winter sun</x:v>
      </x:c>
      <x:c r="E43" t="str">
        <x:v>Scheduled direct pair in uploaded file</x:v>
      </x:c>
      <x:c r="F43" t="str">
        <x:v>GLA</x:v>
      </x:c>
      <x:c r="G43" t="str">
        <x:v>ACE</x:v>
      </x:c>
      <x:c r="H43" s="28" t="n">
        <x:v>17</x:v>
      </x:c>
      <x:c r="I43" s="28" t="n">
        <x:v>22</x:v>
      </x:c>
      <x:c r="J43" s="28" t="n">
        <x:f>I43-H43</x:f>
        <x:v>5</x:v>
      </x:c>
      <x:c r="K43" t="str">
        <x:v>07:30</x:v>
      </x:c>
      <x:c r="L43" t="str">
        <x:v>12:00</x:v>
      </x:c>
      <x:c r="M43" t="str">
        <x:v>15:10</x:v>
      </x:c>
      <x:c r="N43" t="str">
        <x:v>19:45</x:v>
      </x:c>
      <x:c r="O43" s="26" t="n">
        <x:v>123.2</x:v>
      </x:c>
      <x:c r="P43" s="32"/>
      <x:c r="Q43" s="32" t="n">
        <x:v>356.09</x:v>
      </x:c>
      <x:c r="R43" s="34" t="str">
        <x:f>IF(COUNT(P43:Q43)=2,ROUND(P43*'Method &amp; assumptions'!$B$7+Q43,2),"")</x:f>
      </x:c>
      <x:c r="S43" s="34" t="str">
        <x:f>IF(R43="","",ROUND(R43+'Method &amp; assumptions'!$B$8*'Method &amp; assumptions'!$B$7+'Method &amp; assumptions'!$B$9,2))</x:f>
      </x:c>
      <x:c r="T43" t="str">
        <x:v>Apartamento Tierra y Mar 1</x:v>
      </x:c>
      <x:c r="U43" t="n">
        <x:v>9.4</x:v>
      </x:c>
      <x:c r="V43" t="str">
        <x:v>U23121 / LS170</x:v>
      </x:c>
      <x:c r="W43" t="str">
        <x:v>No date-specific fare yet</x:v>
      </x:c>
      <x:c r="X43" t="str">
        <x:v>https://www.flightsfrom.com/GLA</x:v>
      </x:c>
      <x:c r="Y43" t="str">
        <x:v>https://www.booking.com/hotel/es/enjoy-arrecife.html?checkin=2027-01-17&amp;checkout=2027-01-22&amp;group_adults=2&amp;no_rooms=1</x:v>
      </x:c>
      <x:c r="Z43" t="str">
        <x:v>Volcanic landscapes, sun; car helps explore</x:v>
      </x:c>
    </x:row>
    <x:row r="44" ht="23" customHeight="1">
      <x:c r="A44" t="str">
        <x:v>EU038</x:v>
      </x:c>
      <x:c r="B44" s="22" t="str">
        <x:v>Paris CDG</x:v>
      </x:c>
      <x:c r="C44" t="str">
        <x:v>France</x:v>
      </x:c>
      <x:c r="D44" t="str">
        <x:v>Culture / art</x:v>
      </x:c>
      <x:c r="E44" t="str">
        <x:v>Scheduled direct pair in uploaded file</x:v>
      </x:c>
      <x:c r="F44" t="str">
        <x:v>GLA</x:v>
      </x:c>
      <x:c r="G44" t="str">
        <x:v>CDG</x:v>
      </x:c>
      <x:c r="H44" s="28" t="n">
        <x:v>17</x:v>
      </x:c>
      <x:c r="I44" s="28" t="n">
        <x:v>22</x:v>
      </x:c>
      <x:c r="J44" s="28" t="n">
        <x:f>I44-H44</x:f>
        <x:v>5</x:v>
      </x:c>
      <x:c r="K44" t="str">
        <x:v>07:00</x:v>
      </x:c>
      <x:c r="L44" t="str">
        <x:v>09:55</x:v>
      </x:c>
      <x:c r="M44" t="str">
        <x:v>19:40</x:v>
      </x:c>
      <x:c r="N44" t="str">
        <x:v>20:30</x:v>
      </x:c>
      <x:c r="O44" s="26" t="n">
        <x:v>129.8</x:v>
      </x:c>
      <x:c r="P44" s="32"/>
      <x:c r="Q44" s="32" t="n">
        <x:v>366.56</x:v>
      </x:c>
      <x:c r="R44" s="34" t="str">
        <x:f>IF(COUNT(P44:Q44)=2,ROUND(P44*'Method &amp; assumptions'!$B$7+Q44,2),"")</x:f>
      </x:c>
      <x:c r="S44" s="34" t="str">
        <x:f>IF(R44="","",ROUND(R44+'Method &amp; assumptions'!$B$8*'Method &amp; assumptions'!$B$7+'Method &amp; assumptions'!$B$9,2))</x:f>
      </x:c>
      <x:c r="T44" t="str">
        <x:v>Appart'City Classic Paris La Villette</x:v>
      </x:c>
      <x:c r="U44" t="n">
        <x:v>7.8</x:v>
      </x:c>
      <x:c r="V44" t="str">
        <x:v>U23123 / U24675</x:v>
      </x:c>
      <x:c r="W44" t="str">
        <x:v>No date-specific fare yet</x:v>
      </x:c>
      <x:c r="X44" t="str">
        <x:v>https://www.flightsfrom.com/GLA</x:v>
      </x:c>
      <x:c r="Y44" t="str">
        <x:v>https://www.booking.com/hotel/fr/appart-city-cap-affaires-paris.html?checkin=2027-01-17&amp;checkout=2027-01-22&amp;group_adults=2&amp;no_rooms=1</x:v>
      </x:c>
      <x:c r="Z44" t="str">
        <x:v>Museums and neighbourhoods; hotel and dining costs higher</x:v>
      </x:c>
    </x:row>
    <x:row r="45" ht="23" customHeight="1">
      <x:c r="A45" t="str">
        <x:v>EU039</x:v>
      </x:c>
      <x:c r="B45" s="22" t="str">
        <x:v>Brussels Charleroi</x:v>
      </x:c>
      <x:c r="C45" t="str">
        <x:v>Belgium</x:v>
      </x:c>
      <x:c r="D45" t="str">
        <x:v>Belgian cities</x:v>
      </x:c>
      <x:c r="E45" t="str">
        <x:v>Scheduled direct pair in uploaded file</x:v>
      </x:c>
      <x:c r="F45" t="str">
        <x:v>EDI</x:v>
      </x:c>
      <x:c r="G45" t="str">
        <x:v>CRL</x:v>
      </x:c>
      <x:c r="H45" s="28" t="n">
        <x:v>17</x:v>
      </x:c>
      <x:c r="I45" s="28" t="n">
        <x:v>22</x:v>
      </x:c>
      <x:c r="J45" s="28" t="n">
        <x:f>I45-H45</x:f>
        <x:v>5</x:v>
      </x:c>
      <x:c r="K45" t="str">
        <x:v>11:50</x:v>
      </x:c>
      <x:c r="L45" t="str">
        <x:v>14:35</x:v>
      </x:c>
      <x:c r="M45" t="str">
        <x:v>16:15</x:v>
      </x:c>
      <x:c r="N45" t="str">
        <x:v>16:55</x:v>
      </x:c>
      <x:c r="O45" s="26" t="n">
        <x:v>121.7</x:v>
      </x:c>
      <x:c r="P45" s="32"/>
      <x:c r="Q45" s="32" t="n">
        <x:v>378.42</x:v>
      </x:c>
      <x:c r="R45" s="34" t="str">
        <x:f>IF(COUNT(P45:Q45)=2,ROUND(P45*'Method &amp; assumptions'!$B$7+Q45,2),"")</x:f>
      </x:c>
      <x:c r="S45" s="34" t="str">
        <x:f>IF(R45="","",ROUND(R45+'Method &amp; assumptions'!$B$8*'Method &amp; assumptions'!$B$7+'Method &amp; assumptions'!$B$9,2))</x:f>
      </x:c>
      <x:c r="T45" t="str">
        <x:v>Lovely condo next to European Area (Brussels)</x:v>
      </x:c>
      <x:c r="U45" t="n">
        <x:v>8.8</x:v>
      </x:c>
      <x:c r="V45" t="str">
        <x:v>FR7322 / FR7353</x:v>
      </x:c>
      <x:c r="W45" t="str">
        <x:v>No date-specific fare yet</x:v>
      </x:c>
      <x:c r="X45" t="str">
        <x:v>https://www.flightsfrom.com/EDI</x:v>
      </x:c>
      <x:c r="Y45" t="str">
        <x:v>https://www.booking.com/hotel/be/lovely-condo-next-to-european-area.html?checkin=2027-01-17&amp;checkout=2027-01-22&amp;group_adults=2&amp;no_rooms=1</x:v>
      </x:c>
      <x:c r="Z45" t="str">
        <x:v>Use Brussels/Bruges/Ghent; Charleroi transfer adds time/cost</x:v>
      </x:c>
    </x:row>
    <x:row r="46" ht="23" customHeight="1">
      <x:c r="A46" t="str">
        <x:v>EU040</x:v>
      </x:c>
      <x:c r="B46" s="22" t="str">
        <x:v>Alicante</x:v>
      </x:c>
      <x:c r="C46" t="str">
        <x:v>Spain</x:v>
      </x:c>
      <x:c r="D46" t="str">
        <x:v>Mild / coast</x:v>
      </x:c>
      <x:c r="E46" t="str">
        <x:v>Scheduled direct pair in uploaded file</x:v>
      </x:c>
      <x:c r="F46" t="str">
        <x:v>GLA</x:v>
      </x:c>
      <x:c r="G46" t="str">
        <x:v>ALC</x:v>
      </x:c>
      <x:c r="H46" s="28" t="n">
        <x:v>17</x:v>
      </x:c>
      <x:c r="I46" s="28" t="n">
        <x:v>22</x:v>
      </x:c>
      <x:c r="J46" s="28" t="n">
        <x:f>I46-H46</x:f>
        <x:v>5</x:v>
      </x:c>
      <x:c r="K46" t="str">
        <x:v>06:15</x:v>
      </x:c>
      <x:c r="L46" t="str">
        <x:v>10:30</x:v>
      </x:c>
      <x:c r="M46" t="str">
        <x:v>13:20</x:v>
      </x:c>
      <x:c r="N46" t="str">
        <x:v>15:30</x:v>
      </x:c>
      <x:c r="O46" s="26" t="n">
        <x:v>122.8</x:v>
      </x:c>
      <x:c r="P46" s="32"/>
      <x:c r="Q46" s="32" t="n">
        <x:v>380.85</x:v>
      </x:c>
      <x:c r="R46" s="34" t="str">
        <x:f>IF(COUNT(P46:Q46)=2,ROUND(P46*'Method &amp; assumptions'!$B$7+Q46,2),"")</x:f>
      </x:c>
      <x:c r="S46" s="34" t="str">
        <x:f>IF(R46="","",ROUND(R46+'Method &amp; assumptions'!$B$8*'Method &amp; assumptions'!$B$7+'Method &amp; assumptions'!$B$9,2))</x:f>
      </x:c>
      <x:c r="T46" t="str">
        <x:v>Arenal Suites Alicante</x:v>
      </x:c>
      <x:c r="U46" t="n">
        <x:v>9.4</x:v>
      </x:c>
      <x:c r="V46" t="str">
        <x:v>LS177 / FR2521</x:v>
      </x:c>
      <x:c r="W46" t="str">
        <x:v>No date-specific fare yet</x:v>
      </x:c>
      <x:c r="X46" t="str">
        <x:v>https://www.flightsfrom.com/GLA</x:v>
      </x:c>
      <x:c r="Y46" t="str">
        <x:v>https://www.booking.com/hotel/es/arenal-suites-alicante.html?checkin=2027-01-17&amp;checkout=2027-01-22&amp;group_adults=2&amp;no_rooms=1</x:v>
      </x:c>
      <x:c r="Z46" t="str">
        <x:v>Mild coast and waterfront; good restaurants</x:v>
      </x:c>
    </x:row>
    <x:row r="47" ht="23" customHeight="1">
      <x:c r="A47" t="str">
        <x:v>EU041</x:v>
      </x:c>
      <x:c r="B47" s="22" t="str">
        <x:v>Geneva</x:v>
      </x:c>
      <x:c r="C47" t="str">
        <x:v>Switzerland</x:v>
      </x:c>
      <x:c r="D47" t="str">
        <x:v>Alpine / city</x:v>
      </x:c>
      <x:c r="E47" t="str">
        <x:v>Scheduled direct pair in uploaded file</x:v>
      </x:c>
      <x:c r="F47" t="str">
        <x:v>EDI</x:v>
      </x:c>
      <x:c r="G47" t="str">
        <x:v>GVA</x:v>
      </x:c>
      <x:c r="H47" s="28" t="n">
        <x:v>18</x:v>
      </x:c>
      <x:c r="I47" s="28" t="n">
        <x:v>22</x:v>
      </x:c>
      <x:c r="J47" s="28" t="n">
        <x:f>I47-H47</x:f>
        <x:v>4</x:v>
      </x:c>
      <x:c r="K47" t="str">
        <x:v>06:20</x:v>
      </x:c>
      <x:c r="L47" t="str">
        <x:v>09:35</x:v>
      </x:c>
      <x:c r="M47" t="str">
        <x:v>13:50</x:v>
      </x:c>
      <x:c r="N47" t="str">
        <x:v>15:10</x:v>
      </x:c>
      <x:c r="O47" s="26" t="n">
        <x:v>100.2</x:v>
      </x:c>
      <x:c r="P47" s="32"/>
      <x:c r="Q47" s="32" t="n">
        <x:v>390.72</x:v>
      </x:c>
      <x:c r="R47" s="34" t="str">
        <x:f>IF(COUNT(P47:Q47)=2,ROUND(P47*'Method &amp; assumptions'!$B$7+Q47,2),"")</x:f>
      </x:c>
      <x:c r="S47" s="34" t="str">
        <x:f>IF(R47="","",ROUND(R47+'Method &amp; assumptions'!$B$8*'Method &amp; assumptions'!$B$7+'Method &amp; assumptions'!$B$9,2))</x:f>
      </x:c>
      <x:c r="T47" t="str">
        <x:v>Noirettes 20 - Self Check In</x:v>
      </x:c>
      <x:c r="U47" t="n">
        <x:v>8.4</x:v>
      </x:c>
      <x:c r="V47" t="str">
        <x:v>U23291 / U23294</x:v>
      </x:c>
      <x:c r="W47" t="str">
        <x:v>No date-specific fare yet</x:v>
      </x:c>
      <x:c r="X47" t="str">
        <x:v>https://www.flightsfrom.com/EDI</x:v>
      </x:c>
      <x:c r="Y47" t="str">
        <x:v>https://www.booking.com/hotel/ch/n20-homenhancement.html?checkin=2027-01-18&amp;checkout=2027-01-22&amp;group_adults=2&amp;no_rooms=1</x:v>
      </x:c>
      <x:c r="Z47" t="str">
        <x:v>Lakefront and Alpine day-trips; expensive</x:v>
      </x:c>
    </x:row>
    <x:row r="48" ht="23" customHeight="1">
      <x:c r="A48" t="str">
        <x:v>EU042</x:v>
      </x:c>
      <x:c r="B48" s="22" t="str">
        <x:v>Zurich</x:v>
      </x:c>
      <x:c r="C48" t="str">
        <x:v>Switzerland</x:v>
      </x:c>
      <x:c r="D48" t="str">
        <x:v>Alpine / city</x:v>
      </x:c>
      <x:c r="E48" t="str">
        <x:v>Scheduled direct pair in uploaded file</x:v>
      </x:c>
      <x:c r="F48" t="str">
        <x:v>EDI</x:v>
      </x:c>
      <x:c r="G48" t="str">
        <x:v>ZRH</x:v>
      </x:c>
      <x:c r="H48" s="28" t="n">
        <x:v>18</x:v>
      </x:c>
      <x:c r="I48" s="28" t="n">
        <x:v>22</x:v>
      </x:c>
      <x:c r="J48" s="28" t="n">
        <x:f>I48-H48</x:f>
        <x:v>4</x:v>
      </x:c>
      <x:c r="K48" t="str">
        <x:v>07:40</x:v>
      </x:c>
      <x:c r="L48" t="str">
        <x:v>10:55</x:v>
      </x:c>
      <x:c r="M48" t="str">
        <x:v>17:45</x:v>
      </x:c>
      <x:c r="N48" t="str">
        <x:v>19:10</x:v>
      </x:c>
      <x:c r="O48" s="26" t="n">
        <x:v>102.8</x:v>
      </x:c>
      <x:c r="P48" s="32"/>
      <x:c r="Q48" s="32" t="n">
        <x:v>395.53</x:v>
      </x:c>
      <x:c r="R48" s="34" t="str">
        <x:f>IF(COUNT(P48:Q48)=2,ROUND(P48*'Method &amp; assumptions'!$B$7+Q48,2),"")</x:f>
      </x:c>
      <x:c r="S48" s="34" t="str">
        <x:f>IF(R48="","",ROUND(R48+'Method &amp; assumptions'!$B$8*'Method &amp; assumptions'!$B$7+'Method &amp; assumptions'!$B$9,2))</x:f>
      </x:c>
      <x:c r="T48" t="str">
        <x:v>City Pop 2Night Zürich City</x:v>
      </x:c>
      <x:c r="U48" t="n">
        <x:v>8.3</x:v>
      </x:c>
      <x:c r="V48" t="str">
        <x:v>WK291 / WK290</x:v>
      </x:c>
      <x:c r="W48" t="str">
        <x:v>No date-specific fare yet</x:v>
      </x:c>
      <x:c r="X48" t="str">
        <x:v>https://www.flightsfrom.com/EDI</x:v>
      </x:c>
      <x:c r="Y48" t="str">
        <x:v>https://www.booking.com/hotel/ch/city-pop-2night-zurich-city.html?checkin=2027-01-18&amp;checkout=2027-01-22&amp;group_adults=2&amp;no_rooms=1</x:v>
      </x:c>
      <x:c r="Z48" t="str">
        <x:v>Scenic city and mountains; very costly</x:v>
      </x:c>
    </x:row>
    <x:row r="49" ht="23" customHeight="1">
      <x:c r="A49" t="str">
        <x:v>EU043</x:v>
      </x:c>
      <x:c r="B49" s="22" t="str">
        <x:v>Paris CDG</x:v>
      </x:c>
      <x:c r="C49" t="str">
        <x:v>France</x:v>
      </x:c>
      <x:c r="D49" t="str">
        <x:v>Culture / art</x:v>
      </x:c>
      <x:c r="E49" t="str">
        <x:v>Scheduled direct pair in uploaded file</x:v>
      </x:c>
      <x:c r="F49" t="str">
        <x:v>EDI</x:v>
      </x:c>
      <x:c r="G49" t="str">
        <x:v>CDG</x:v>
      </x:c>
      <x:c r="H49" s="28" t="n">
        <x:v>18</x:v>
      </x:c>
      <x:c r="I49" s="28" t="n">
        <x:v>22</x:v>
      </x:c>
      <x:c r="J49" s="28" t="n">
        <x:f>I49-H49</x:f>
        <x:v>4</x:v>
      </x:c>
      <x:c r="K49" t="str">
        <x:v>05:50</x:v>
      </x:c>
      <x:c r="L49" t="str">
        <x:v>08:50</x:v>
      </x:c>
      <x:c r="M49" t="str">
        <x:v>14:25</x:v>
      </x:c>
      <x:c r="N49" t="str">
        <x:v>15:15</x:v>
      </x:c>
      <x:c r="O49" s="26" t="n">
        <x:v>101.6</x:v>
      </x:c>
      <x:c r="P49" s="32"/>
      <x:c r="Q49" s="32" t="n">
        <x:v>404.05</x:v>
      </x:c>
      <x:c r="R49" s="34" t="str">
        <x:f>IF(COUNT(P49:Q49)=2,ROUND(P49*'Method &amp; assumptions'!$B$7+Q49,2),"")</x:f>
      </x:c>
      <x:c r="S49" s="34" t="str">
        <x:f>IF(R49="","",ROUND(R49+'Method &amp; assumptions'!$B$8*'Method &amp; assumptions'!$B$7+'Method &amp; assumptions'!$B$9,2))</x:f>
      </x:c>
      <x:c r="T49" t="str">
        <x:v>Hôtel Sophie Germain</x:v>
      </x:c>
      <x:c r="U49" t="n">
        <x:v>8.2</x:v>
      </x:c>
      <x:c r="V49" t="str">
        <x:v>AF1887 / U23244</x:v>
      </x:c>
      <x:c r="W49" t="str">
        <x:v>No date-specific fare yet</x:v>
      </x:c>
      <x:c r="X49" t="str">
        <x:v>https://www.flightsfrom.com/EDI</x:v>
      </x:c>
      <x:c r="Y49" t="str">
        <x:v>https://www.booking.com/hotel/fr/sophie-germain.html?checkin=2027-01-18&amp;checkout=2027-01-22&amp;group_adults=2&amp;no_rooms=1</x:v>
      </x:c>
      <x:c r="Z49" t="str">
        <x:v>Museums and neighbourhoods; hotel and dining costs higher</x:v>
      </x:c>
    </x:row>
    <x:row r="50" ht="23" customHeight="1">
      <x:c r="A50" t="str">
        <x:v>EU044</x:v>
      </x:c>
      <x:c r="B50" s="22" t="str">
        <x:v>Geneva</x:v>
      </x:c>
      <x:c r="C50" t="str">
        <x:v>Switzerland</x:v>
      </x:c>
      <x:c r="D50" t="str">
        <x:v>Alpine / city</x:v>
      </x:c>
      <x:c r="E50" t="str">
        <x:v>Scheduled direct pair in uploaded file</x:v>
      </x:c>
      <x:c r="F50" t="str">
        <x:v>EDI</x:v>
      </x:c>
      <x:c r="G50" t="str">
        <x:v>GVA</x:v>
      </x:c>
      <x:c r="H50" s="28" t="n">
        <x:v>17</x:v>
      </x:c>
      <x:c r="I50" s="28" t="n">
        <x:v>22</x:v>
      </x:c>
      <x:c r="J50" s="28" t="n">
        <x:f>I50-H50</x:f>
        <x:v>5</x:v>
      </x:c>
      <x:c r="K50" t="str">
        <x:v>06:55</x:v>
      </x:c>
      <x:c r="L50" t="str">
        <x:v>10:10</x:v>
      </x:c>
      <x:c r="M50" t="str">
        <x:v>13:50</x:v>
      </x:c>
      <x:c r="N50" t="str">
        <x:v>15:10</x:v>
      </x:c>
      <x:c r="O50" s="26" t="n">
        <x:v>123.7</x:v>
      </x:c>
      <x:c r="P50" s="32"/>
      <x:c r="Q50" s="32" t="n">
        <x:v>465.69</x:v>
      </x:c>
      <x:c r="R50" s="34" t="str">
        <x:f>IF(COUNT(P50:Q50)=2,ROUND(P50*'Method &amp; assumptions'!$B$7+Q50,2),"")</x:f>
      </x:c>
      <x:c r="S50" s="34" t="str">
        <x:f>IF(R50="","",ROUND(R50+'Method &amp; assumptions'!$B$8*'Method &amp; assumptions'!$B$7+'Method &amp; assumptions'!$B$9,2))</x:f>
      </x:c>
      <x:c r="T50" t="str">
        <x:v>Noirettes 20 - Self Check In</x:v>
      </x:c>
      <x:c r="U50" t="n">
        <x:v>8.4</x:v>
      </x:c>
      <x:c r="V50" t="str">
        <x:v>U23291 / U23294</x:v>
      </x:c>
      <x:c r="W50" t="str">
        <x:v>No date-specific fare yet</x:v>
      </x:c>
      <x:c r="X50" t="str">
        <x:v>https://www.flightsfrom.com/EDI</x:v>
      </x:c>
      <x:c r="Y50" t="str">
        <x:v>https://www.booking.com/hotel/ch/n20-homenhancement.html?checkin=2027-01-17&amp;checkout=2027-01-22&amp;group_adults=2&amp;no_rooms=1</x:v>
      </x:c>
      <x:c r="Z50" t="str">
        <x:v>Lakefront and Alpine day-trips; expensive</x:v>
      </x:c>
    </x:row>
    <x:row r="51" ht="23" customHeight="1">
      <x:c r="A51" t="str">
        <x:v>EU045</x:v>
      </x:c>
      <x:c r="B51" s="22" t="str">
        <x:v>Tenerife South</x:v>
      </x:c>
      <x:c r="C51" t="str">
        <x:v>Spain (Canaries)</x:v>
      </x:c>
      <x:c r="D51" t="str">
        <x:v>Winter sun</x:v>
      </x:c>
      <x:c r="E51" t="str">
        <x:v>Scheduled direct pair in uploaded file</x:v>
      </x:c>
      <x:c r="F51" t="str">
        <x:v>EDI</x:v>
      </x:c>
      <x:c r="G51" t="str">
        <x:v>TFS</x:v>
      </x:c>
      <x:c r="H51" s="28" t="n">
        <x:v>17</x:v>
      </x:c>
      <x:c r="I51" s="28" t="n">
        <x:v>22</x:v>
      </x:c>
      <x:c r="J51" s="28" t="n">
        <x:f>I51-H51</x:f>
        <x:v>5</x:v>
      </x:c>
      <x:c r="K51" t="str">
        <x:v>06:05</x:v>
      </x:c>
      <x:c r="L51" t="str">
        <x:v>10:55</x:v>
      </x:c>
      <x:c r="M51" t="str">
        <x:v>13:25</x:v>
      </x:c>
      <x:c r="N51" t="str">
        <x:v>18:20</x:v>
      </x:c>
      <x:c r="O51" s="26" t="n">
        <x:v>122.5</x:v>
      </x:c>
      <x:c r="P51" s="32"/>
      <x:c r="Q51" s="32" t="n">
        <x:v>481.77</x:v>
      </x:c>
      <x:c r="R51" s="34" t="str">
        <x:f>IF(COUNT(P51:Q51)=2,ROUND(P51*'Method &amp; assumptions'!$B$7+Q51,2),"")</x:f>
      </x:c>
      <x:c r="S51" s="34" t="str">
        <x:f>IF(R51="","",ROUND(R51+'Method &amp; assumptions'!$B$8*'Method &amp; assumptions'!$B$7+'Method &amp; assumptions'!$B$9,2))</x:f>
      </x:c>
      <x:c r="T51" t="str">
        <x:v>Kn Aparthotel Columbus (Playa Americas)</x:v>
      </x:c>
      <x:c r="U51" t="n">
        <x:v>7.7</x:v>
      </x:c>
      <x:c r="V51" t="str">
        <x:v>FR2980 / LS740</x:v>
      </x:c>
      <x:c r="W51" t="str">
        <x:v>No date-specific fare yet</x:v>
      </x:c>
      <x:c r="X51" t="str">
        <x:v>https://www.flightsfrom.com/EDI</x:v>
      </x:c>
      <x:c r="Y51" t="str">
        <x:v>https://www.booking.com/hotel/es/aparthotel-columbus.html?checkin=2027-01-17&amp;checkout=2027-01-22&amp;group_adults=2&amp;no_rooms=1</x:v>
      </x:c>
      <x:c r="Z51" t="str">
        <x:v>Reliable sun, hiking; resorts cost more and car/transfer may help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14" hidden="0" customWidth="1"/>
    <x:col min="5" max="5" width="14" hidden="0" customWidth="1"/>
    <x:col min="6" max="6" width="10" hidden="0" customWidth="1"/>
    <x:col min="7" max="7" width="50" hidden="0" customWidth="1"/>
    <x:col min="8" max="8" width="13" hidden="0" customWidth="1"/>
    <x:col min="9" max="9" width="17" hidden="0" customWidth="1"/>
    <x:col min="10" max="10" width="43" hidden="0" customWidth="1"/>
    <x:col min="11" max="11" width="10" hidden="0" customWidth="1"/>
    <x:col min="12" max="12" width="60" hidden="0" customWidth="1"/>
    <x:col min="13" max="13" width="58" hidden="0" customWidth="1"/>
  </x:cols>
  <x:sheetData>
    <x:row r="1" ht="33" customHeight="1">
      <x:c r="A1" s="4" t="str">
        <x:v>DATED BOOKING SEARCHES • TIMINGS TO CHECK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7" customHeight="1">
      <x:c r="A2" s="10" t="str">
        <x:v>These routes showed results for 18–22 Jan, but connections, layover durations and prices are not established. Not in the ranked viable shortlist.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5" ht="37" customHeight="1">
      <x:c r="A5" s="17" t="str">
        <x:v>Destination</x:v>
      </x:c>
      <x:c r="B5" s="17" t="str">
        <x:v>Country</x:v>
      </x:c>
      <x:c r="C5" s="17" t="str">
        <x:v>Route</x:v>
      </x:c>
      <x:c r="D5" s="17" t="str">
        <x:v>Outbound Jan</x:v>
      </x:c>
      <x:c r="E5" s="17" t="str">
        <x:v>Return Jan</x:v>
      </x:c>
      <x:c r="F5" s="17" t="str">
        <x:v>Nights</x:v>
      </x:c>
      <x:c r="G5" s="17" t="str">
        <x:v>Source status</x:v>
      </x:c>
      <x:c r="H5" s="17" t="str">
        <x:v>Fare pp</x:v>
      </x:c>
      <x:c r="I5" s="17" t="str">
        <x:v>Room / two</x:v>
      </x:c>
      <x:c r="J5" s="17" t="str">
        <x:v>Property</x:v>
      </x:c>
      <x:c r="K5" s="17" t="str">
        <x:v>Review</x:v>
      </x:c>
      <x:c r="L5" s="17" t="str">
        <x:v>Hotel quote link</x:v>
      </x:c>
      <x:c r="M5" s="17" t="str">
        <x:v>Why consider</x:v>
      </x:c>
    </x:row>
    <x:row r="6">
      <x:c r="A6" t="str">
        <x:v>Vienna</x:v>
      </x:c>
      <x:c r="B6" t="str">
        <x:v>Austria</x:v>
      </x:c>
      <x:c r="C6" t="str">
        <x:v>EDI → VIE</x:v>
      </x:c>
      <x:c r="D6" t="n">
        <x:v>18</x:v>
      </x:c>
      <x:c r="E6" t="n">
        <x:v>22</x:v>
      </x:c>
      <x:c r="F6" t="n">
        <x:v>4</x:v>
      </x:c>
      <x:c r="G6" t="str">
        <x:v>Exact-date search showed results; times and stops unverified</x:v>
      </x:c>
      <x:c r="H6"/>
      <x:c r="I6" s="24" t="n">
        <x:v>162.8</x:v>
      </x:c>
      <x:c r="J6" t="str">
        <x:v>Exe Vienna</x:v>
      </x:c>
      <x:c r="K6" t="n">
        <x:v>8.7</x:v>
      </x:c>
      <x:c r="L6" t="str">
        <x:v>https://www.booking.com/hotel/at/eurostars-vienna.html?checkin=2027-01-18&amp;checkout=2027-01-22&amp;group_adults=2&amp;no_rooms=1</x:v>
      </x:c>
      <x:c r="M6" t="str">
        <x:v>Imperial architecture, cafés, museums; Vienna→Bratislava easy</x:v>
      </x:c>
    </x:row>
    <x:row r="7">
      <x:c r="A7" t="str">
        <x:v>Bratislava via Vienna</x:v>
      </x:c>
      <x:c r="B7" t="str">
        <x:v>Slovakia</x:v>
      </x:c>
      <x:c r="C7" t="str">
        <x:v>EDI → VIE + bus</x:v>
      </x:c>
      <x:c r="D7" t="n">
        <x:v>18</x:v>
      </x:c>
      <x:c r="E7" t="n">
        <x:v>22</x:v>
      </x:c>
      <x:c r="F7" t="n">
        <x:v>4</x:v>
      </x:c>
      <x:c r="G7" t="str">
        <x:v>Exact-date search showed results; times and stops unverified</x:v>
      </x:c>
      <x:c r="H7"/>
      <x:c r="I7" s="24" t="n">
        <x:v>220.86</x:v>
      </x:c>
      <x:c r="J7" t="str">
        <x:v>Old Pressburg - Green Courtyard</x:v>
      </x:c>
      <x:c r="K7" t="n">
        <x:v>9.4</x:v>
      </x:c>
      <x:c r="L7" t="str">
        <x:v>https://www.booking.com/hotel/sk/old-pressburg-green-courtyard-bratislava.html?checkin=2027-01-18&amp;checkout=2027-01-22&amp;group_adults=2&amp;no_rooms=1</x:v>
      </x:c>
      <x:c r="M7" t="str">
        <x:v>Old Town and Bratislava castle; Vienna airport ground transfer</x:v>
      </x:c>
    </x:row>
    <x:row r="8">
      <x:c r="A8" t="str">
        <x:v>Bucharest</x:v>
      </x:c>
      <x:c r="B8" t="str">
        <x:v>Romania</x:v>
      </x:c>
      <x:c r="C8" t="str">
        <x:v>EDI → OTP</x:v>
      </x:c>
      <x:c r="D8" t="n">
        <x:v>18</x:v>
      </x:c>
      <x:c r="E8" t="n">
        <x:v>22</x:v>
      </x:c>
      <x:c r="F8" t="n">
        <x:v>4</x:v>
      </x:c>
      <x:c r="G8" t="str">
        <x:v>Exact-date search showed results; times and stops unverified</x:v>
      </x:c>
      <x:c r="H8"/>
      <x:c r="I8" s="24" t="n">
        <x:v>162.53</x:v>
      </x:c>
      <x:c r="J8" t="str">
        <x:v>Black and White Apartments</x:v>
      </x:c>
      <x:c r="K8" t="n">
        <x:v>8.9</x:v>
      </x:c>
      <x:c r="L8" t="str">
        <x:v>https://www.booking.com/hotel/ro/orange-studio-bucuresti.html?checkin=2027-01-18&amp;checkout=2027-01-22&amp;group_adults=2&amp;no_rooms=1</x:v>
      </x:c>
      <x:c r="M8" t="str">
        <x:v>Cheap food, museums and eclectic architecture</x:v>
      </x:c>
    </x:row>
    <x:row r="9">
      <x:c r="A9" t="str">
        <x:v>Ljubljana</x:v>
      </x:c>
      <x:c r="B9" t="str">
        <x:v>Slovenia</x:v>
      </x:c>
      <x:c r="C9" t="str">
        <x:v>EDI → LJU</x:v>
      </x:c>
      <x:c r="D9" t="n">
        <x:v>18</x:v>
      </x:c>
      <x:c r="E9" t="n">
        <x:v>22</x:v>
      </x:c>
      <x:c r="F9" t="n">
        <x:v>4</x:v>
      </x:c>
      <x:c r="G9" t="str">
        <x:v>Exact-date search showed results; times and stops unverified</x:v>
      </x:c>
      <x:c r="H9"/>
      <x:c r="I9" s="24" t="n">
        <x:v>212.61</x:v>
      </x:c>
      <x:c r="J9" t="str">
        <x:v>The LOFT Ljubljana</x:v>
      </x:c>
      <x:c r="K9" t="n">
        <x:v>8.3</x:v>
      </x:c>
      <x:c r="L9" t="str">
        <x:v>https://www.booking.com/hotel/si/the-superior-loft.html?checkin=2027-01-18&amp;checkout=2027-01-22&amp;group_adults=2&amp;no_rooms=1</x:v>
      </x:c>
      <x:c r="M9" t="str">
        <x:v>Compact centre and riverside cafés; lakes/Alps subject to weather</x:v>
      </x:c>
    </x:row>
    <x:row r="10">
      <x:c r="A10" t="str">
        <x:v>Riga</x:v>
      </x:c>
      <x:c r="B10" t="str">
        <x:v>Latvia</x:v>
      </x:c>
      <x:c r="C10" t="str">
        <x:v>EDI → RIX</x:v>
      </x:c>
      <x:c r="D10" t="n">
        <x:v>18</x:v>
      </x:c>
      <x:c r="E10" t="n">
        <x:v>22</x:v>
      </x:c>
      <x:c r="F10" t="n">
        <x:v>4</x:v>
      </x:c>
      <x:c r="G10" t="str">
        <x:v>Exact-date search showed results; times and stops unverified</x:v>
      </x:c>
      <x:c r="H10"/>
      <x:c r="I10" s="24" t="n">
        <x:v>124.7</x:v>
      </x:c>
      <x:c r="J10" t="str">
        <x:v>P6 Old Town Apartments</x:v>
      </x:c>
      <x:c r="K10" t="n">
        <x:v>9.1</x:v>
      </x:c>
      <x:c r="L10" t="str">
        <x:v>https://www.booking.com/hotel/lv/p6-a-riga-old-town-apartments.html?checkin=2027-01-18&amp;checkout=2027-01-22&amp;group_adults=2&amp;no_rooms=1</x:v>
      </x:c>
      <x:c r="M10" t="str">
        <x:v>Art Nouveau, Old Town and winter food culture</x:v>
      </x:c>
    </x:row>
    <x:row r="11">
      <x:c r="A11" t="str">
        <x:v>Vilnius</x:v>
      </x:c>
      <x:c r="B11" t="str">
        <x:v>Lithuania</x:v>
      </x:c>
      <x:c r="C11" t="str">
        <x:v>EDI → VNO</x:v>
      </x:c>
      <x:c r="D11" t="n">
        <x:v>18</x:v>
      </x:c>
      <x:c r="E11" t="n">
        <x:v>22</x:v>
      </x:c>
      <x:c r="F11" t="n">
        <x:v>4</x:v>
      </x:c>
      <x:c r="G11" t="str">
        <x:v>Exact-date search showed results; times and stops unverified</x:v>
      </x:c>
      <x:c r="H11"/>
      <x:c r="I11" s="24" t="n">
        <x:v>164.22</x:v>
      </x:c>
      <x:c r="J11" t="str">
        <x:v>Mini Home Vilnius Old Town</x:v>
      </x:c>
      <x:c r="K11" t="n">
        <x:v>8.7</x:v>
      </x:c>
      <x:c r="L11" t="str">
        <x:v>https://www.booking.com/hotel/lt/mini-home-vilnius-old-town.html?checkin=2027-01-18&amp;checkout=2027-01-22&amp;group_adults=2&amp;no_rooms=1</x:v>
      </x:c>
      <x:c r="M11" t="str">
        <x:v>Baroque Old Town, Užupis, cafés</x:v>
      </x:c>
    </x:row>
    <x:row r="12">
      <x:c r="A12" t="str">
        <x:v>Budapest</x:v>
      </x:c>
      <x:c r="B12" t="str">
        <x:v>Hungary</x:v>
      </x:c>
      <x:c r="C12" t="str">
        <x:v>EDI → BUD</x:v>
      </x:c>
      <x:c r="D12" t="n">
        <x:v>18</x:v>
      </x:c>
      <x:c r="E12" t="n">
        <x:v>22</x:v>
      </x:c>
      <x:c r="F12" t="n">
        <x:v>4</x:v>
      </x:c>
      <x:c r="G12" t="str">
        <x:v>Exact-date search showed results; times and stops unverified</x:v>
      </x:c>
      <x:c r="H12"/>
      <x:c r="I12" s="24" t="n">
        <x:v>186.31</x:v>
      </x:c>
      <x:c r="J12" t="str">
        <x:v>Elisabeth Downtown Apartments by FirstHost</x:v>
      </x:c>
      <x:c r="K12" t="n">
        <x:v>8.9</x:v>
      </x:c>
      <x:c r="L12" t="str">
        <x:v>https://www.booking.com/hotel/hu/urbanrent-holding-fiok.html?checkin=2027-01-18&amp;checkout=2027-01-22&amp;group_adults=2&amp;no_rooms=1</x:v>
      </x:c>
      <x:c r="M12" t="str">
        <x:v>Thermal baths, historic districts, excellent food</x:v>
      </x:c>
    </x:row>
    <x:row r="13">
      <x:c r="A13" t="str">
        <x:v>Sofia</x:v>
      </x:c>
      <x:c r="B13" t="str">
        <x:v>Bulgaria</x:v>
      </x:c>
      <x:c r="C13" t="str">
        <x:v>EDI → SOF</x:v>
      </x:c>
      <x:c r="D13" t="n">
        <x:v>18</x:v>
      </x:c>
      <x:c r="E13" t="n">
        <x:v>22</x:v>
      </x:c>
      <x:c r="F13" t="n">
        <x:v>4</x:v>
      </x:c>
      <x:c r="G13" t="str">
        <x:v>Exact-date search showed results; times and stops unverified</x:v>
      </x:c>
      <x:c r="H13"/>
      <x:c r="I13" s="24" t="n">
        <x:v>141.6</x:v>
      </x:c>
      <x:c r="J13" t="str">
        <x:v>Chic Studio in Sofia Center - Urban Oasis for 2!</x:v>
      </x:c>
      <x:c r="K13" t="n">
        <x:v>9.4</x:v>
      </x:c>
      <x:c r="L13" t="str">
        <x:v>https://www.booking.com/hotel/bg/chic-studio-in-sofia-center-urban-oasis-for-2.html?checkin=2027-01-18&amp;checkout=2027-01-22&amp;group_adults=2&amp;no_rooms=1</x:v>
      </x:c>
      <x:c r="M13" t="str">
        <x:v>Low prices, mountain backdrop; colder winter</x:v>
      </x:c>
    </x:row>
    <x:row r="14">
      <x:c r="A14" t="str">
        <x:v>Barcelona</x:v>
      </x:c>
      <x:c r="B14" t="str">
        <x:v>Spain</x:v>
      </x:c>
      <x:c r="C14" t="str">
        <x:v>EDI → BCN</x:v>
      </x:c>
      <x:c r="D14" t="n">
        <x:v>18</x:v>
      </x:c>
      <x:c r="E14" t="n">
        <x:v>22</x:v>
      </x:c>
      <x:c r="F14" t="n">
        <x:v>4</x:v>
      </x:c>
      <x:c r="G14" t="str">
        <x:v>Exact-date search showed results; times and stops unverified</x:v>
      </x:c>
      <x:c r="H14"/>
      <x:c r="I14" s="24" t="n">
        <x:v>300.76</x:v>
      </x:c>
      <x:c r="J14" t="str">
        <x:v>Hostal la Palmera</x:v>
      </x:c>
      <x:c r="K14" t="n">
        <x:v>8.8</x:v>
      </x:c>
      <x:c r="L14" t="str">
        <x:v>https://www.booking.com/hotel/es/hostal-la-palmera.html?checkin=2027-01-18&amp;checkout=2027-01-22&amp;group_adults=2&amp;no_rooms=1</x:v>
      </x:c>
      <x:c r="M14" t="str">
        <x:v>Gaudí, food markets, architecture; winter sightseeing</x:v>
      </x:c>
    </x:row>
    <x:row r="15">
      <x:c r="A15" t="str">
        <x:v>Lisbon</x:v>
      </x:c>
      <x:c r="B15" t="str">
        <x:v>Portugal</x:v>
      </x:c>
      <x:c r="C15" t="str">
        <x:v>EDI → LIS</x:v>
      </x:c>
      <x:c r="D15" t="n">
        <x:v>18</x:v>
      </x:c>
      <x:c r="E15" t="n">
        <x:v>22</x:v>
      </x:c>
      <x:c r="F15" t="n">
        <x:v>4</x:v>
      </x:c>
      <x:c r="G15" t="str">
        <x:v>Exact-date search showed results; times and stops unverified</x:v>
      </x:c>
      <x:c r="H15"/>
      <x:c r="I15" s="24" t="n">
        <x:v>244.87</x:v>
      </x:c>
      <x:c r="J15" t="str">
        <x:v>Ibis Styles Lisboa Centro Marquês de Pombal</x:v>
      </x:c>
      <x:c r="K15" t="n">
        <x:v>8.7</x:v>
      </x:c>
      <x:c r="L15" t="str">
        <x:v>https://www.booking.com/hotel/pt/hoteleduardovii.html?checkin=2027-01-18&amp;checkout=2027-01-22&amp;group_adults=2&amp;no_rooms=1</x:v>
      </x:c>
      <x:c r="M15" t="str">
        <x:v>Hills, tiled neighbourhoods, food and cafés; rain possible</x:v>
      </x:c>
    </x:row>
    <x:row r="16">
      <x:c r="A16" t="str">
        <x:v>Malta / St Julian's</x:v>
      </x:c>
      <x:c r="B16" t="str">
        <x:v>Malta</x:v>
      </x:c>
      <x:c r="C16" t="str">
        <x:v>EDI → MLA</x:v>
      </x:c>
      <x:c r="D16" t="n">
        <x:v>18</x:v>
      </x:c>
      <x:c r="E16" t="n">
        <x:v>22</x:v>
      </x:c>
      <x:c r="F16" t="n">
        <x:v>4</x:v>
      </x:c>
      <x:c r="G16" t="str">
        <x:v>Exact-date search showed results; times and stops unverified</x:v>
      </x:c>
      <x:c r="H16"/>
      <x:c r="I16" s="24" t="n">
        <x:v>127.35</x:v>
      </x:c>
      <x:c r="J16" t="str">
        <x:v>Mayflower Hotel Malta</x:v>
      </x:c>
      <x:c r="K16" t="n">
        <x:v>8.4</x:v>
      </x:c>
      <x:c r="L16" t="str">
        <x:v>https://www.booking.com/hotel/mt/mayflower.html?checkin=2027-01-18&amp;checkout=2027-01-22&amp;group_adults=2&amp;no_rooms=1</x:v>
      </x:c>
      <x:c r="M16" t="str">
        <x:v>Historic Valletta and coastal walks; mild, often windy</x:v>
      </x:c>
    </x:row>
    <x:row r="17">
      <x:c r="A17" t="str">
        <x:v>Athens</x:v>
      </x:c>
      <x:c r="B17" t="str">
        <x:v>Greece</x:v>
      </x:c>
      <x:c r="C17" t="str">
        <x:v>EDI → ATH</x:v>
      </x:c>
      <x:c r="D17" t="n">
        <x:v>18</x:v>
      </x:c>
      <x:c r="E17" t="n">
        <x:v>22</x:v>
      </x:c>
      <x:c r="F17" t="n">
        <x:v>4</x:v>
      </x:c>
      <x:c r="G17" t="str">
        <x:v>Exact-date search showed results; times and stops unverified</x:v>
      </x:c>
      <x:c r="H17"/>
      <x:c r="I17" s="24" t="n">
        <x:v>182.65</x:v>
      </x:c>
      <x:c r="J17" t="str">
        <x:v>Kimon Hotel Athens</x:v>
      </x:c>
      <x:c r="K17" t="n">
        <x:v>8.2</x:v>
      </x:c>
      <x:c r="L17" t="str">
        <x:v>https://www.booking.com/hotel/gr/kimon.html?checkin=2027-01-18&amp;checkout=2027-01-22&amp;group_adults=2&amp;no_rooms=1</x:v>
      </x:c>
      <x:c r="M17" t="str">
        <x:v>Archaeology and excellent food; quieter winter</x:v>
      </x:c>
    </x:row>
    <x:row r="18">
      <x:c r="A18" t="str">
        <x:v>Milan</x:v>
      </x:c>
      <x:c r="B18" t="str">
        <x:v>Italy</x:v>
      </x:c>
      <x:c r="C18" t="str">
        <x:v>EDI → MXP</x:v>
      </x:c>
      <x:c r="D18" t="n">
        <x:v>18</x:v>
      </x:c>
      <x:c r="E18" t="n">
        <x:v>22</x:v>
      </x:c>
      <x:c r="F18" t="n">
        <x:v>4</x:v>
      </x:c>
      <x:c r="G18" t="str">
        <x:v>Exact-date search showed results; times and stops unverified</x:v>
      </x:c>
      <x:c r="H18"/>
      <x:c r="I18" s="24" t="n">
        <x:v>295.59</x:v>
      </x:c>
      <x:c r="J18" t="str">
        <x:v>Music House - Carozzi Apartments</x:v>
      </x:c>
      <x:c r="K18" t="n">
        <x:v>9.4</x:v>
      </x:c>
      <x:c r="L18" t="str">
        <x:v>https://www.booking.com/hotel/it/music-house-carozzi-apartments-milano.html?checkin=2027-01-18&amp;checkout=2027-01-22&amp;group_adults=2&amp;no_rooms=1</x:v>
      </x:c>
      <x:c r="M18" t="str">
        <x:v>Museums, galleries, day-trips</x:v>
      </x:c>
    </x:row>
    <x:row r="19">
      <x:c r="A19" t="str">
        <x:v>Naples</x:v>
      </x:c>
      <x:c r="B19" t="str">
        <x:v>Italy</x:v>
      </x:c>
      <x:c r="C19" t="str">
        <x:v>EDI → NAP</x:v>
      </x:c>
      <x:c r="D19" t="n">
        <x:v>18</x:v>
      </x:c>
      <x:c r="E19" t="n">
        <x:v>22</x:v>
      </x:c>
      <x:c r="F19" t="n">
        <x:v>4</x:v>
      </x:c>
      <x:c r="G19" t="str">
        <x:v>Exact-date search showed results; times and stops unverified</x:v>
      </x:c>
      <x:c r="H19"/>
      <x:c r="I19" s="24" t="n">
        <x:v>228.73</x:v>
      </x:c>
      <x:c r="J19" t="str">
        <x:v>Centro Storico Luxury Suites</x:v>
      </x:c>
      <x:c r="K19" t="n">
        <x:v>9.2</x:v>
      </x:c>
      <x:c r="L19" t="str">
        <x:v>https://www.booking.com/hotel/it/centro-storico-luxury-suites.html?checkin=2027-01-18&amp;checkout=2027-01-22&amp;group_adults=2&amp;no_rooms=1</x:v>
      </x:c>
      <x:c r="M19" t="str">
        <x:v>Archaeology, food and Pompeii; winter manageable</x:v>
      </x:c>
    </x:row>
    <x:row r="20">
      <x:c r="A20" t="str">
        <x:v>Oslo</x:v>
      </x:c>
      <x:c r="B20" t="str">
        <x:v>Norway</x:v>
      </x:c>
      <x:c r="C20" t="str">
        <x:v>EDI → OSL</x:v>
      </x:c>
      <x:c r="D20" t="n">
        <x:v>18</x:v>
      </x:c>
      <x:c r="E20" t="n">
        <x:v>22</x:v>
      </x:c>
      <x:c r="F20" t="n">
        <x:v>4</x:v>
      </x:c>
      <x:c r="G20" t="str">
        <x:v>Exact-date search showed results; times and stops unverified</x:v>
      </x:c>
      <x:c r="H20"/>
      <x:c r="I20" s="24" t="n">
        <x:v>285.11</x:v>
      </x:c>
      <x:c r="J20" t="str">
        <x:v>The Apartments Company - The Sweet</x:v>
      </x:c>
      <x:c r="K20" t="n">
        <x:v>8.2</x:v>
      </x:c>
      <x:c r="L20" t="str">
        <x:v>https://www.booking.com/hotel/no/the-sweet-by-the-apartments-company.html?checkin=2027-01-18&amp;checkout=2027-01-22&amp;group_adults=2&amp;no_rooms=1</x:v>
      </x:c>
      <x:c r="M20" t="str">
        <x:v>Museums and Nordic winter; high expenses</x:v>
      </x:c>
    </x:row>
    <x:row r="21">
      <x:c r="A21" t="str">
        <x:v>Stockholm</x:v>
      </x:c>
      <x:c r="B21" t="str">
        <x:v>Sweden</x:v>
      </x:c>
      <x:c r="C21" t="str">
        <x:v>EDI → ARN</x:v>
      </x:c>
      <x:c r="D21" t="n">
        <x:v>18</x:v>
      </x:c>
      <x:c r="E21" t="n">
        <x:v>22</x:v>
      </x:c>
      <x:c r="F21" t="n">
        <x:v>4</x:v>
      </x:c>
      <x:c r="G21" t="str">
        <x:v>Exact-date search showed results; times and stops unverified</x:v>
      </x:c>
      <x:c r="H21"/>
      <x:c r="I21" s="24" t="n">
        <x:v>225.86</x:v>
      </x:c>
      <x:c r="J21" t="str">
        <x:v>Scandic Go, Sankt Eriksgatan 20</x:v>
      </x:c>
      <x:c r="K21" t="n">
        <x:v>8.4</x:v>
      </x:c>
      <x:c r="L21" t="str">
        <x:v>https://www.booking.com/hotel/se/fridhemsplan.html?checkin=2027-01-18&amp;checkout=2027-01-22&amp;group_adults=2&amp;no_rooms=1</x:v>
      </x:c>
      <x:c r="M21" t="str">
        <x:v>Attractive old town and museums; cold, short daylight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69" hidden="0" customWidth="1"/>
    <x:col min="4" max="4" width="36" hidden="0" customWidth="1"/>
    <x:col min="5" max="5" width="44" hidden="0" customWidth="1"/>
    <x:col min="6" max="6" width="29" hidden="0" customWidth="1"/>
  </x:cols>
  <x:sheetData>
    <x:row r="1" ht="33" customHeight="1">
      <x:c r="A1" s="4" t="str">
        <x:v>DESTINATION RESEARCH NOTES</x:v>
      </x:c>
      <x:c r="B1" s="4"/>
      <x:c r="C1" s="4"/>
      <x:c r="D1" s="4"/>
      <x:c r="E1" s="4"/>
      <x:c r="F1" s="4"/>
    </x:row>
    <x:row r="2" ht="27" customHeight="1">
      <x:c r="A2" s="10" t="str">
        <x:v>Prioritise places with a date-compatible flight; January advantages, costs and obstacles summarised.</x:v>
      </x:c>
      <x:c r="B2" s="10"/>
      <x:c r="C2" s="10"/>
      <x:c r="D2" s="10"/>
      <x:c r="E2" s="10"/>
      <x:c r="F2" s="10"/>
    </x:row>
    <x:row r="5" ht="37" customHeight="1">
      <x:c r="A5" s="17" t="str">
        <x:v>Destination</x:v>
      </x:c>
      <x:c r="B5" s="17" t="str">
        <x:v>Travel style</x:v>
      </x:c>
      <x:c r="C5" s="17" t="str">
        <x:v>What makes it interesting</x:v>
      </x:c>
      <x:c r="D5" s="17" t="str">
        <x:v>January caution</x:v>
      </x:c>
      <x:c r="E5" s="17" t="str">
        <x:v>Best evidence</x:v>
      </x:c>
      <x:c r="F5" s="17" t="str">
        <x:v>Likely holiday type</x:v>
      </x:c>
    </x:row>
    <x:row r="6">
      <x:c r="A6" t="str">
        <x:v>Alicante</x:v>
      </x:c>
      <x:c r="B6" t="str">
        <x:v>Mild / coast</x:v>
      </x:c>
      <x:c r="C6" t="str">
        <x:v>Mild coast and waterfront; good restaurants</x:v>
      </x:c>
      <x:c r="D6" t="str">
        <x:v>Potential rain and fewer daylight hours</x:v>
      </x:c>
      <x:c r="E6" t="str">
        <x:v>Scheduled direct pair (user file)</x:v>
      </x:c>
      <x:c r="F6" t="str">
        <x:v>4–5 nights from EDI/GLA</x:v>
      </x:c>
    </x:row>
    <x:row r="7">
      <x:c r="A7" t="str">
        <x:v>Amsterdam</x:v>
      </x:c>
      <x:c r="B7" t="str">
        <x:v>Culture / cafés</x:v>
      </x:c>
      <x:c r="C7" t="str">
        <x:v>Museums, canals and cosy brown cafés; pricier daily spend</x:v>
      </x:c>
      <x:c r="D7" t="str">
        <x:v>Potential rain and fewer daylight hours</x:v>
      </x:c>
      <x:c r="E7" t="str">
        <x:v>Scheduled direct pair (user file)</x:v>
      </x:c>
      <x:c r="F7" t="str">
        <x:v>4–5 nights from EDI/GLA</x:v>
      </x:c>
    </x:row>
    <x:row r="8">
      <x:c r="A8" t="str">
        <x:v>Athens</x:v>
      </x:c>
      <x:c r="B8" t="str">
        <x:v>Archaeology</x:v>
      </x:c>
      <x:c r="C8" t="str">
        <x:v>Archaeology and excellent food; quieter winter</x:v>
      </x:c>
      <x:c r="D8" t="str">
        <x:v>Potential rain and fewer daylight hours</x:v>
      </x:c>
      <x:c r="E8" t="str">
        <x:v>Connection search; timings unverified</x:v>
      </x:c>
      <x:c r="F8" t="str">
        <x:v>4–5 nights from EDI/GLA</x:v>
      </x:c>
    </x:row>
    <x:row r="9">
      <x:c r="A9" t="str">
        <x:v>Barcelona</x:v>
      </x:c>
      <x:c r="B9" t="str">
        <x:v>Culture / food</x:v>
      </x:c>
      <x:c r="C9" t="str">
        <x:v>Gaudí, food markets, architecture; winter sightseeing</x:v>
      </x:c>
      <x:c r="D9" t="str">
        <x:v>Potential rain and fewer daylight hours</x:v>
      </x:c>
      <x:c r="E9" t="str">
        <x:v>Scheduled direct pair (user file)</x:v>
      </x:c>
      <x:c r="F9" t="str">
        <x:v>4–5 nights from EDI/GLA</x:v>
      </x:c>
    </x:row>
    <x:row r="10">
      <x:c r="A10" t="str">
        <x:v>Berlin</x:v>
      </x:c>
      <x:c r="B10" t="str">
        <x:v>Culture / museums</x:v>
      </x:c>
      <x:c r="C10" t="str">
        <x:v>Museums/food/nightlife; previous Berlin trip in November</x:v>
      </x:c>
      <x:c r="D10" t="str">
        <x:v>Potential rain and fewer daylight hours</x:v>
      </x:c>
      <x:c r="E10" t="str">
        <x:v>Prior date-matched fare; recheck</x:v>
      </x:c>
      <x:c r="F10" t="str">
        <x:v>4–5 nights from EDI/GLA</x:v>
      </x:c>
    </x:row>
    <x:row r="11">
      <x:c r="A11" t="str">
        <x:v>Bratislava via Vienna</x:v>
      </x:c>
      <x:c r="B11" t="str">
        <x:v>Historic city</x:v>
      </x:c>
      <x:c r="C11" t="str">
        <x:v>Old Town and Bratislava castle; Vienna airport ground transfer</x:v>
      </x:c>
      <x:c r="D11" t="str">
        <x:v>Potential rain and fewer daylight hours</x:v>
      </x:c>
      <x:c r="E11" t="str">
        <x:v>Connection search; timings unverified</x:v>
      </x:c>
      <x:c r="F11" t="str">
        <x:v>4–5 nights from EDI/GLA</x:v>
      </x:c>
    </x:row>
    <x:row r="12">
      <x:c r="A12" t="str">
        <x:v>Brussels Charleroi</x:v>
      </x:c>
      <x:c r="B12" t="str">
        <x:v>Belgian cities</x:v>
      </x:c>
      <x:c r="C12" t="str">
        <x:v>Use Brussels/Bruges/Ghent; Charleroi transfer adds time/cost</x:v>
      </x:c>
      <x:c r="D12" t="str">
        <x:v>Potential rain and fewer daylight hours</x:v>
      </x:c>
      <x:c r="E12" t="str">
        <x:v>Scheduled direct pair (user file)</x:v>
      </x:c>
      <x:c r="F12" t="str">
        <x:v>4–5 nights from EDI/GLA</x:v>
      </x:c>
    </x:row>
    <x:row r="13">
      <x:c r="A13" t="str">
        <x:v>Bucharest</x:v>
      </x:c>
      <x:c r="B13" t="str">
        <x:v>Culture / value</x:v>
      </x:c>
      <x:c r="C13" t="str">
        <x:v>Cheap food, museums and eclectic architecture</x:v>
      </x:c>
      <x:c r="D13" t="str">
        <x:v>Potential rain and fewer daylight hours</x:v>
      </x:c>
      <x:c r="E13" t="str">
        <x:v>Connection search; timings unverified</x:v>
      </x:c>
      <x:c r="F13" t="str">
        <x:v>4–5 nights from EDI/GLA</x:v>
      </x:c>
    </x:row>
    <x:row r="14">
      <x:c r="A14" t="str">
        <x:v>Budapest</x:v>
      </x:c>
      <x:c r="B14" t="str">
        <x:v>Baths / culture</x:v>
      </x:c>
      <x:c r="C14" t="str">
        <x:v>Thermal baths, historic districts, excellent food</x:v>
      </x:c>
      <x:c r="D14" t="str">
        <x:v>Potential rain and fewer daylight hours</x:v>
      </x:c>
      <x:c r="E14" t="str">
        <x:v>Connection search; timings unverified</x:v>
      </x:c>
      <x:c r="F14" t="str">
        <x:v>4–5 nights from EDI/GLA</x:v>
      </x:c>
    </x:row>
    <x:row r="15">
      <x:c r="A15" t="str">
        <x:v>Copenhagen</x:v>
      </x:c>
      <x:c r="B15" t="str">
        <x:v>Nordic winter</x:v>
      </x:c>
      <x:c r="C15" t="str">
        <x:v>Excellent cafés and design; high daily spending</x:v>
      </x:c>
      <x:c r="D15" t="str">
        <x:v>Winter cold/short daylight</x:v>
      </x:c>
      <x:c r="E15" t="str">
        <x:v>Scheduled direct pair (user file)</x:v>
      </x:c>
      <x:c r="F15" t="str">
        <x:v>4–5 nights from EDI/GLA</x:v>
      </x:c>
    </x:row>
    <x:row r="16">
      <x:c r="A16" t="str">
        <x:v>Gdańsk</x:v>
      </x:c>
      <x:c r="B16" t="str">
        <x:v>Baltic winter</x:v>
      </x:c>
      <x:c r="C16" t="str">
        <x:v>Pretty Baltic riverside old town; connecting on priced example</x:v>
      </x:c>
      <x:c r="D16" t="str">
        <x:v>Winter cold/short daylight</x:v>
      </x:c>
      <x:c r="E16" t="str">
        <x:v>Prior date-matched fare; recheck</x:v>
      </x:c>
      <x:c r="F16" t="str">
        <x:v>4–5 nights from EDI/GLA</x:v>
      </x:c>
    </x:row>
    <x:row r="17">
      <x:c r="A17" t="str">
        <x:v>Geneva</x:v>
      </x:c>
      <x:c r="B17" t="str">
        <x:v>Alpine / city</x:v>
      </x:c>
      <x:c r="C17" t="str">
        <x:v>Lakefront and Alpine day-trips; expensive</x:v>
      </x:c>
      <x:c r="D17" t="str">
        <x:v>Potential rain and fewer daylight hours</x:v>
      </x:c>
      <x:c r="E17" t="str">
        <x:v>Scheduled direct pair (user file)</x:v>
      </x:c>
      <x:c r="F17" t="str">
        <x:v>4–5 nights from EDI/GLA</x:v>
      </x:c>
    </x:row>
    <x:row r="18">
      <x:c r="A18" t="str">
        <x:v>Gran Canaria</x:v>
      </x:c>
      <x:c r="B18" t="str">
        <x:v>Winter sun</x:v>
      </x:c>
      <x:c r="C18" t="str">
        <x:v>Las Palmas city or southern resort; warm and much drier</x:v>
      </x:c>
      <x:c r="D18" t="str">
        <x:v>Potential rain and fewer daylight hours</x:v>
      </x:c>
      <x:c r="E18" t="str">
        <x:v>Scheduled direct pair (user file)</x:v>
      </x:c>
      <x:c r="F18" t="str">
        <x:v>4–5 nights from EDI/GLA</x:v>
      </x:c>
    </x:row>
    <x:row r="19">
      <x:c r="A19" t="str">
        <x:v>Helsinki</x:v>
      </x:c>
      <x:c r="B19" t="str">
        <x:v>Nordic winter</x:v>
      </x:c>
      <x:c r="C19" t="str">
        <x:v>Saunas, design, architecture; very cold and short daylight</x:v>
      </x:c>
      <x:c r="D19" t="str">
        <x:v>Winter cold/short daylight</x:v>
      </x:c>
      <x:c r="E19" t="str">
        <x:v>Scheduled direct pair (user file)</x:v>
      </x:c>
      <x:c r="F19" t="str">
        <x:v>4–5 nights from EDI/GLA</x:v>
      </x:c>
    </x:row>
    <x:row r="20">
      <x:c r="A20" t="str">
        <x:v>Istanbul</x:v>
      </x:c>
      <x:c r="B20" t="str">
        <x:v>History / food</x:v>
      </x:c>
      <x:c r="C20" t="str">
        <x:v>Historic sites, food and ferries; recent visit may reduce novelty</x:v>
      </x:c>
      <x:c r="D20" t="str">
        <x:v>Potential rain and fewer daylight hours</x:v>
      </x:c>
      <x:c r="E20" t="str">
        <x:v>Scheduled direct pair (user file)</x:v>
      </x:c>
      <x:c r="F20" t="str">
        <x:v>4–5 nights from EDI/GLA</x:v>
      </x:c>
    </x:row>
    <x:row r="21">
      <x:c r="A21" t="str">
        <x:v>Kaunas</x:v>
      </x:c>
      <x:c r="B21" t="str">
        <x:v>Baltic winter</x:v>
      </x:c>
      <x:c r="C21" t="str">
        <x:v>Strong budget Baltic option; Vilnius rail link</x:v>
      </x:c>
      <x:c r="D21" t="str">
        <x:v>Winter cold/short daylight</x:v>
      </x:c>
      <x:c r="E21" t="str">
        <x:v>Scheduled direct pair (user file)</x:v>
      </x:c>
      <x:c r="F21" t="str">
        <x:v>4–5 nights from EDI/GLA</x:v>
      </x:c>
    </x:row>
    <x:row r="22">
      <x:c r="A22" t="str">
        <x:v>Kraków</x:v>
      </x:c>
      <x:c r="B22" t="str">
        <x:v>Historic city</x:v>
      </x:c>
      <x:c r="C22" t="str">
        <x:v>Excellent Polish dining, Kazimierz, museums</x:v>
      </x:c>
      <x:c r="D22" t="str">
        <x:v>Potential rain and fewer daylight hours</x:v>
      </x:c>
      <x:c r="E22" t="str">
        <x:v>Prior date-matched fare; recheck</x:v>
      </x:c>
      <x:c r="F22" t="str">
        <x:v>4–5 nights from EDI/GLA</x:v>
      </x:c>
    </x:row>
    <x:row r="23">
      <x:c r="A23" t="str">
        <x:v>Lanzarote</x:v>
      </x:c>
      <x:c r="B23" t="str">
        <x:v>Winter sun</x:v>
      </x:c>
      <x:c r="C23" t="str">
        <x:v>Volcanic landscapes, sun; car helps explore</x:v>
      </x:c>
      <x:c r="D23" t="str">
        <x:v>Potential rain and fewer daylight hours</x:v>
      </x:c>
      <x:c r="E23" t="str">
        <x:v>Scheduled direct pair (user file)</x:v>
      </x:c>
      <x:c r="F23" t="str">
        <x:v>4–5 nights from EDI/GLA</x:v>
      </x:c>
    </x:row>
    <x:row r="24">
      <x:c r="A24" t="str">
        <x:v>Lisbon</x:v>
      </x:c>
      <x:c r="B24" t="str">
        <x:v>Mild / cafés</x:v>
      </x:c>
      <x:c r="C24" t="str">
        <x:v>Hills, tiled neighbourhoods, food and cafés; rain possible</x:v>
      </x:c>
      <x:c r="D24" t="str">
        <x:v>Potential rain and fewer daylight hours</x:v>
      </x:c>
      <x:c r="E24" t="str">
        <x:v>Connection search; timings unverified</x:v>
      </x:c>
      <x:c r="F24" t="str">
        <x:v>4–5 nights from EDI/GLA</x:v>
      </x:c>
    </x:row>
    <x:row r="25">
      <x:c r="A25" t="str">
        <x:v>Ljubljana</x:v>
      </x:c>
      <x:c r="B25" t="str">
        <x:v>Romantic / historic</x:v>
      </x:c>
      <x:c r="C25" t="str">
        <x:v>Compact centre and riverside cafés; lakes/Alps subject to weather</x:v>
      </x:c>
      <x:c r="D25" t="str">
        <x:v>Potential rain and fewer daylight hours</x:v>
      </x:c>
      <x:c r="E25" t="str">
        <x:v>Connection search; timings unverified</x:v>
      </x:c>
      <x:c r="F25" t="str">
        <x:v>4–5 nights from EDI/GLA</x:v>
      </x:c>
    </x:row>
    <x:row r="26">
      <x:c r="A26" t="str">
        <x:v>Luxembourg City</x:v>
      </x:c>
      <x:c r="B26" t="str">
        <x:v>Compact city</x:v>
      </x:c>
      <x:c r="C26" t="str">
        <x:v>Interesting fortifications and free public transport; expensive hotels</x:v>
      </x:c>
      <x:c r="D26" t="str">
        <x:v>Potential rain and fewer daylight hours</x:v>
      </x:c>
      <x:c r="E26" t="str">
        <x:v>Prior date-matched fare; recheck</x:v>
      </x:c>
      <x:c r="F26" t="str">
        <x:v>4–5 nights from EDI/GLA</x:v>
      </x:c>
    </x:row>
    <x:row r="27">
      <x:c r="A27" t="str">
        <x:v>Madrid</x:v>
      </x:c>
      <x:c r="B27" t="str">
        <x:v>Culture / food</x:v>
      </x:c>
      <x:c r="C27" t="str">
        <x:v>Outstanding art museums and food; good winter city</x:v>
      </x:c>
      <x:c r="D27" t="str">
        <x:v>Potential rain and fewer daylight hours</x:v>
      </x:c>
      <x:c r="E27" t="str">
        <x:v>Scheduled direct pair (user file)</x:v>
      </x:c>
      <x:c r="F27" t="str">
        <x:v>4–5 nights from EDI/GLA</x:v>
      </x:c>
    </x:row>
    <x:row r="28">
      <x:c r="A28" t="str">
        <x:v>Malta / St Julian's</x:v>
      </x:c>
      <x:c r="B28" t="str">
        <x:v>Mild / culture</x:v>
      </x:c>
      <x:c r="C28" t="str">
        <x:v>Historic Valletta and coastal walks; mild, often windy</x:v>
      </x:c>
      <x:c r="D28" t="str">
        <x:v>Potential rain and fewer daylight hours</x:v>
      </x:c>
      <x:c r="E28" t="str">
        <x:v>Connection search; timings unverified</x:v>
      </x:c>
      <x:c r="F28" t="str">
        <x:v>4–5 nights from EDI/GLA</x:v>
      </x:c>
    </x:row>
    <x:row r="29">
      <x:c r="A29" t="str">
        <x:v>Milan</x:v>
      </x:c>
      <x:c r="B29" t="str">
        <x:v>Design / culture</x:v>
      </x:c>
      <x:c r="C29" t="str">
        <x:v>Museums, galleries, day-trips</x:v>
      </x:c>
      <x:c r="D29" t="str">
        <x:v>Potential rain and fewer daylight hours</x:v>
      </x:c>
      <x:c r="E29" t="str">
        <x:v>Connection search; timings unverified</x:v>
      </x:c>
      <x:c r="F29" t="str">
        <x:v>4–5 nights from EDI/GLA</x:v>
      </x:c>
    </x:row>
    <x:row r="30">
      <x:c r="A30" t="str">
        <x:v>Munich</x:v>
      </x:c>
      <x:c r="B30" t="str">
        <x:v>Historic city</x:v>
      </x:c>
      <x:c r="C30" t="str">
        <x:v>Beer halls, historic city; Alpine day-trips</x:v>
      </x:c>
      <x:c r="D30" t="str">
        <x:v>Potential rain and fewer daylight hours</x:v>
      </x:c>
      <x:c r="E30" t="str">
        <x:v>Prior date-matched fare; recheck</x:v>
      </x:c>
      <x:c r="F30" t="str">
        <x:v>4–5 nights from EDI/GLA</x:v>
      </x:c>
    </x:row>
    <x:row r="31">
      <x:c r="A31" t="str">
        <x:v>Málaga</x:v>
      </x:c>
      <x:c r="B31" t="str">
        <x:v>Mild / coast</x:v>
      </x:c>
      <x:c r="C31" t="str">
        <x:v>Warmest city option; seafood, museums and tapas</x:v>
      </x:c>
      <x:c r="D31" t="str">
        <x:v>Potential rain and fewer daylight hours</x:v>
      </x:c>
      <x:c r="E31" t="str">
        <x:v>Prior date-matched fare; recheck</x:v>
      </x:c>
      <x:c r="F31" t="str">
        <x:v>4–5 nights from EDI/GLA</x:v>
      </x:c>
    </x:row>
    <x:row r="32">
      <x:c r="A32" t="str">
        <x:v>Naples</x:v>
      </x:c>
      <x:c r="B32" t="str">
        <x:v>History / food</x:v>
      </x:c>
      <x:c r="C32" t="str">
        <x:v>Archaeology, food and Pompeii; winter manageable</x:v>
      </x:c>
      <x:c r="D32" t="str">
        <x:v>Potential rain and fewer daylight hours</x:v>
      </x:c>
      <x:c r="E32" t="str">
        <x:v>Connection search; timings unverified</x:v>
      </x:c>
      <x:c r="F32" t="str">
        <x:v>4–5 nights from EDI/GLA</x:v>
      </x:c>
    </x:row>
    <x:row r="33">
      <x:c r="A33" t="str">
        <x:v>Oslo</x:v>
      </x:c>
      <x:c r="B33" t="str">
        <x:v>Nordic winter</x:v>
      </x:c>
      <x:c r="C33" t="str">
        <x:v>Museums and Nordic winter; high expenses</x:v>
      </x:c>
      <x:c r="D33" t="str">
        <x:v>Winter cold/short daylight</x:v>
      </x:c>
      <x:c r="E33" t="str">
        <x:v>Connection search; timings unverified</x:v>
      </x:c>
      <x:c r="F33" t="str">
        <x:v>4–5 nights from EDI/GLA</x:v>
      </x:c>
    </x:row>
    <x:row r="34">
      <x:c r="A34" t="str">
        <x:v>Paphos</x:v>
      </x:c>
      <x:c r="B34" t="str">
        <x:v>Mild / archaeology</x:v>
      </x:c>
      <x:c r="C34" t="str">
        <x:v>Antiquity, archaeology and mild coastal winter</x:v>
      </x:c>
      <x:c r="D34" t="str">
        <x:v>Potential rain and fewer daylight hours</x:v>
      </x:c>
      <x:c r="E34" t="str">
        <x:v>Prior date-matched fare; recheck</x:v>
      </x:c>
      <x:c r="F34" t="str">
        <x:v>4–5 nights from EDI/GLA</x:v>
      </x:c>
    </x:row>
    <x:row r="35">
      <x:c r="A35" t="str">
        <x:v>Paris CDG</x:v>
      </x:c>
      <x:c r="B35" t="str">
        <x:v>Culture / art</x:v>
      </x:c>
      <x:c r="C35" t="str">
        <x:v>Museums and neighbourhoods; hotel and dining costs higher</x:v>
      </x:c>
      <x:c r="D35" t="str">
        <x:v>Potential rain and fewer daylight hours</x:v>
      </x:c>
      <x:c r="E35" t="str">
        <x:v>Scheduled direct pair (user file)</x:v>
      </x:c>
      <x:c r="F35" t="str">
        <x:v>4–5 nights from EDI/GLA</x:v>
      </x:c>
    </x:row>
    <x:row r="36">
      <x:c r="A36" t="str">
        <x:v>Paris via Beauvais</x:v>
      </x:c>
      <x:c r="B36" t="str">
        <x:v>Other</x:v>
      </x:c>
      <x:c r="C36" t="str">
        <x:v>Paris via Beauvais</x:v>
      </x:c>
      <x:c r="D36" t="str">
        <x:v>Potential rain and fewer daylight hours</x:v>
      </x:c>
      <x:c r="E36" t="str">
        <x:v>Prior date-matched fare; recheck</x:v>
      </x:c>
      <x:c r="F36" t="str">
        <x:v>4–5 nights from EDI/GLA</x:v>
      </x:c>
    </x:row>
    <x:row r="37">
      <x:c r="A37" t="str">
        <x:v>Pisa / Florence base</x:v>
      </x:c>
      <x:c r="B37" t="str">
        <x:v>Culture / history</x:v>
      </x:c>
      <x:c r="C37" t="str">
        <x:v>Pisa plus Florence by rail; connecting flights</x:v>
      </x:c>
      <x:c r="D37" t="str">
        <x:v>Potential rain and fewer daylight hours</x:v>
      </x:c>
      <x:c r="E37" t="str">
        <x:v>Prior date-matched fare; recheck</x:v>
      </x:c>
      <x:c r="F37" t="str">
        <x:v>4–5 nights from EDI/GLA</x:v>
      </x:c>
    </x:row>
    <x:row r="38">
      <x:c r="A38" t="str">
        <x:v>Porto</x:v>
      </x:c>
      <x:c r="B38" t="str">
        <x:v>City / cafés</x:v>
      </x:c>
      <x:c r="C38" t="str">
        <x:v>Food and architecture; connecting flights and winter rain</x:v>
      </x:c>
      <x:c r="D38" t="str">
        <x:v>Potential rain and fewer daylight hours</x:v>
      </x:c>
      <x:c r="E38" t="str">
        <x:v>Prior date-matched fare; recheck</x:v>
      </x:c>
      <x:c r="F38" t="str">
        <x:v>4–5 nights from EDI/GLA</x:v>
      </x:c>
    </x:row>
    <x:row r="39">
      <x:c r="A39" t="str">
        <x:v>Poznań</x:v>
      </x:c>
      <x:c r="B39" t="str">
        <x:v>Historic city</x:v>
      </x:c>
      <x:c r="C39" t="str">
        <x:v>Affordable Old Town, cafés, excellent heritage accommodation</x:v>
      </x:c>
      <x:c r="D39" t="str">
        <x:v>Potential rain and fewer daylight hours</x:v>
      </x:c>
      <x:c r="E39" t="str">
        <x:v>Scheduled direct pair (user file)</x:v>
      </x:c>
      <x:c r="F39" t="str">
        <x:v>4–5 nights from EDI/GLA</x:v>
      </x:c>
    </x:row>
    <x:row r="40">
      <x:c r="A40" t="str">
        <x:v>Prague</x:v>
      </x:c>
      <x:c r="B40" t="str">
        <x:v>Romantic / historic</x:v>
      </x:c>
      <x:c r="C40" t="str">
        <x:v>Historic atmosphere and pubs; five nights</x:v>
      </x:c>
      <x:c r="D40" t="str">
        <x:v>Potential rain and fewer daylight hours</x:v>
      </x:c>
      <x:c r="E40" t="str">
        <x:v>Prior date-matched fare; recheck</x:v>
      </x:c>
      <x:c r="F40" t="str">
        <x:v>4–5 nights from EDI/GLA</x:v>
      </x:c>
    </x:row>
    <x:row r="41">
      <x:c r="A41" t="str">
        <x:v>Riga</x:v>
      </x:c>
      <x:c r="B41" t="str">
        <x:v>Baltic winter</x:v>
      </x:c>
      <x:c r="C41" t="str">
        <x:v>Art Nouveau, Old Town and winter food culture</x:v>
      </x:c>
      <x:c r="D41" t="str">
        <x:v>Winter cold/short daylight</x:v>
      </x:c>
      <x:c r="E41" t="str">
        <x:v>Connection search; timings unverified</x:v>
      </x:c>
      <x:c r="F41" t="str">
        <x:v>4–5 nights from EDI/GLA</x:v>
      </x:c>
    </x:row>
    <x:row r="42">
      <x:c r="A42" t="str">
        <x:v>Rome</x:v>
      </x:c>
      <x:c r="B42" t="str">
        <x:v>History / food</x:v>
      </x:c>
      <x:c r="C42" t="str">
        <x:v>Classical archaeology; winter is less busy</x:v>
      </x:c>
      <x:c r="D42" t="str">
        <x:v>Potential rain and fewer daylight hours</x:v>
      </x:c>
      <x:c r="E42" t="str">
        <x:v>Prior date-matched fare; recheck</x:v>
      </x:c>
      <x:c r="F42" t="str">
        <x:v>4–5 nights from EDI/GLA</x:v>
      </x:c>
    </x:row>
    <x:row r="43">
      <x:c r="A43" t="str">
        <x:v>Santander</x:v>
      </x:c>
      <x:c r="B43" t="str">
        <x:v>Coastal / food</x:v>
      </x:c>
      <x:c r="C43" t="str">
        <x:v>Seafood and coast; wet winter likely</x:v>
      </x:c>
      <x:c r="D43" t="str">
        <x:v>Potential rain and fewer daylight hours</x:v>
      </x:c>
      <x:c r="E43" t="str">
        <x:v>Scheduled direct pair (user file)</x:v>
      </x:c>
      <x:c r="F43" t="str">
        <x:v>4–5 nights from EDI/GLA</x:v>
      </x:c>
    </x:row>
    <x:row r="44">
      <x:c r="A44" t="str">
        <x:v>Sofia</x:v>
      </x:c>
      <x:c r="B44" t="str">
        <x:v>Historic / value</x:v>
      </x:c>
      <x:c r="C44" t="str">
        <x:v>Low prices, mountain backdrop; colder winter</x:v>
      </x:c>
      <x:c r="D44" t="str">
        <x:v>Potential rain and fewer daylight hours</x:v>
      </x:c>
      <x:c r="E44" t="str">
        <x:v>Connection search; timings unverified</x:v>
      </x:c>
      <x:c r="F44" t="str">
        <x:v>4–5 nights from EDI/GLA</x:v>
      </x:c>
    </x:row>
    <x:row r="45">
      <x:c r="A45" t="str">
        <x:v>Stockholm</x:v>
      </x:c>
      <x:c r="B45" t="str">
        <x:v>Nordic winter</x:v>
      </x:c>
      <x:c r="C45" t="str">
        <x:v>Attractive old town and museums; cold, short daylight</x:v>
      </x:c>
      <x:c r="D45" t="str">
        <x:v>Winter cold/short daylight</x:v>
      </x:c>
      <x:c r="E45" t="str">
        <x:v>Connection search; timings unverified</x:v>
      </x:c>
      <x:c r="F45" t="str">
        <x:v>4–5 nights from EDI/GLA</x:v>
      </x:c>
    </x:row>
    <x:row r="46">
      <x:c r="A46" t="str">
        <x:v>Tallinn</x:v>
      </x:c>
      <x:c r="B46" t="str">
        <x:v>Baltic winter</x:v>
      </x:c>
      <x:c r="C46" t="str">
        <x:v>Mediaeval old town, cafés and winter atmosphere; connecting flights</x:v>
      </x:c>
      <x:c r="D46" t="str">
        <x:v>Winter cold/short daylight</x:v>
      </x:c>
      <x:c r="E46" t="str">
        <x:v>Prior date-matched fare; recheck</x:v>
      </x:c>
      <x:c r="F46" t="str">
        <x:v>4–5 nights from EDI/GLA</x:v>
      </x:c>
    </x:row>
    <x:row r="47">
      <x:c r="A47" t="str">
        <x:v>Tenerife South</x:v>
      </x:c>
      <x:c r="B47" t="str">
        <x:v>Winter sun</x:v>
      </x:c>
      <x:c r="C47" t="str">
        <x:v>Reliable sun, hiking; resorts cost more and car/transfer may help</x:v>
      </x:c>
      <x:c r="D47" t="str">
        <x:v>Potential rain and fewer daylight hours</x:v>
      </x:c>
      <x:c r="E47" t="str">
        <x:v>Scheduled direct pair (user file)</x:v>
      </x:c>
      <x:c r="F47" t="str">
        <x:v>4–5 nights from EDI/GLA</x:v>
      </x:c>
    </x:row>
    <x:row r="48">
      <x:c r="A48" t="str">
        <x:v>Venice</x:v>
      </x:c>
      <x:c r="B48" t="str">
        <x:v>Romantic / historic</x:v>
      </x:c>
      <x:c r="C48" t="str">
        <x:v>Uncrowded winter lanes and canals; possible acqua alta</x:v>
      </x:c>
      <x:c r="D48" t="str">
        <x:v>Potential rain and fewer daylight hours</x:v>
      </x:c>
      <x:c r="E48" t="str">
        <x:v>Scheduled direct pair (user file)</x:v>
      </x:c>
      <x:c r="F48" t="str">
        <x:v>4–5 nights from EDI/GLA</x:v>
      </x:c>
    </x:row>
    <x:row r="49">
      <x:c r="A49" t="str">
        <x:v>Vienna</x:v>
      </x:c>
      <x:c r="B49" t="str">
        <x:v>Culture / music</x:v>
      </x:c>
      <x:c r="C49" t="str">
        <x:v>Imperial architecture, cafés, museums; Vienna→Bratislava easy</x:v>
      </x:c>
      <x:c r="D49" t="str">
        <x:v>Potential rain and fewer daylight hours</x:v>
      </x:c>
      <x:c r="E49" t="str">
        <x:v>Connection search; timings unverified</x:v>
      </x:c>
      <x:c r="F49" t="str">
        <x:v>4–5 nights from EDI/GLA</x:v>
      </x:c>
    </x:row>
    <x:row r="50">
      <x:c r="A50" t="str">
        <x:v>Vilnius</x:v>
      </x:c>
      <x:c r="B50" t="str">
        <x:v>Baltic winter</x:v>
      </x:c>
      <x:c r="C50" t="str">
        <x:v>Baroque Old Town, Užupis, cafés</x:v>
      </x:c>
      <x:c r="D50" t="str">
        <x:v>Winter cold/short daylight</x:v>
      </x:c>
      <x:c r="E50" t="str">
        <x:v>Connection search; timings unverified</x:v>
      </x:c>
      <x:c r="F50" t="str">
        <x:v>4–5 nights from EDI/GLA</x:v>
      </x:c>
    </x:row>
    <x:row r="51">
      <x:c r="A51" t="str">
        <x:v>Vilnius via Kaunas</x:v>
      </x:c>
      <x:c r="B51" t="str">
        <x:v>Other</x:v>
      </x:c>
      <x:c r="C51" t="str">
        <x:v>Vilnius via Kaunas</x:v>
      </x:c>
      <x:c r="D51" t="str">
        <x:v>Potential rain and fewer daylight hours</x:v>
      </x:c>
      <x:c r="E51" t="str">
        <x:v>Prior date-matched fare; recheck</x:v>
      </x:c>
      <x:c r="F51" t="str">
        <x:v>4–5 nights from EDI/GLA</x:v>
      </x:c>
    </x:row>
    <x:row r="52">
      <x:c r="A52" t="str">
        <x:v>Warsaw</x:v>
      </x:c>
      <x:c r="B52" t="str">
        <x:v>Historic city</x:v>
      </x:c>
      <x:c r="C52" t="str">
        <x:v>Good food, museums, rebuilt Old Town; five nights</x:v>
      </x:c>
      <x:c r="D52" t="str">
        <x:v>Potential rain and fewer daylight hours</x:v>
      </x:c>
      <x:c r="E52" t="str">
        <x:v>Prior date-matched fare; recheck</x:v>
      </x:c>
      <x:c r="F52" t="str">
        <x:v>4–5 nights from EDI/GLA</x:v>
      </x:c>
    </x:row>
    <x:row r="53">
      <x:c r="A53" t="str">
        <x:v>Wrocław</x:v>
      </x:c>
      <x:c r="B53" t="str">
        <x:v>Historic city</x:v>
      </x:c>
      <x:c r="C53" t="str">
        <x:v>Very low flight + room price; 3 full sightseeing days depending on flights</x:v>
      </x:c>
      <x:c r="D53" t="str">
        <x:v>Potential rain and fewer daylight hours</x:v>
      </x:c>
      <x:c r="E53" t="str">
        <x:v>Prior date-matched fare; recheck</x:v>
      </x:c>
      <x:c r="F53" t="str">
        <x:v>4–5 nights from EDI/GLA</x:v>
      </x:c>
    </x:row>
    <x:row r="54">
      <x:c r="A54" t="str">
        <x:v>Zurich</x:v>
      </x:c>
      <x:c r="B54" t="str">
        <x:v>Alpine / city</x:v>
      </x:c>
      <x:c r="C54" t="str">
        <x:v>Scenic city and mountains; very costly</x:v>
      </x:c>
      <x:c r="D54" t="str">
        <x:v>Potential rain and fewer daylight hours</x:v>
      </x:c>
      <x:c r="E54" t="str">
        <x:v>Scheduled direct pair (user file)</x:v>
      </x:c>
      <x:c r="F54" t="str">
        <x:v>4–5 nights from EDI/GLA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24" hidden="0" customWidth="1"/>
    <x:col min="4" max="4" width="20" hidden="0" customWidth="1"/>
    <x:col min="5" max="5" width="20" hidden="0" customWidth="1"/>
    <x:col min="6" max="6" width="29" hidden="0" customWidth="1"/>
    <x:col min="7" max="7" width="25" hidden="0" customWidth="1"/>
    <x:col min="8" max="8" width="20" hidden="0" customWidth="1"/>
    <x:col min="9" max="9" width="17" hidden="0" customWidth="1"/>
    <x:col min="10" max="10" width="66" hidden="0" customWidth="1"/>
  </x:cols>
  <x:sheetData>
    <x:row r="1" ht="33" customHeight="1">
      <x:c r="A1" s="4" t="str">
        <x:v>YOUR FLIGHT FILE • OUTBOUND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As supplied: 17–18 January departures before midday only. Other departures may exist and are NOT excluded from the search.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5" ht="37" customHeight="1">
      <x:c r="A5" s="17" t="str">
        <x:v>Airport</x:v>
      </x:c>
      <x:c r="B5" s="17" t="str">
        <x:v>Day</x:v>
      </x:c>
      <x:c r="C5" s="17" t="str">
        <x:v>Date</x:v>
      </x:c>
      <x:c r="D5" s="17" t="str">
        <x:v>Departs (local)</x:v>
      </x:c>
      <x:c r="E5" s="17" t="str">
        <x:v>Arrives (local)</x:v>
      </x:c>
      <x:c r="F5" s="17" t="str">
        <x:v>Destination</x:v>
      </x:c>
      <x:c r="G5" s="17" t="str">
        <x:v>Country</x:v>
      </x:c>
      <x:c r="H5" s="17" t="str">
        <x:v>Airline</x:v>
      </x:c>
      <x:c r="I5" s="17" t="str">
        <x:v>Flight</x:v>
      </x:c>
      <x:c r="J5" s="17" t="str">
        <x:v>Notes</x:v>
      </x:c>
    </x:row>
    <x:row r="6">
      <x:c r="A6" t="str">
        <x:v>Edinburgh</x:v>
      </x:c>
      <x:c r="B6" t="str">
        <x:v>Sun</x:v>
      </x:c>
      <x:c r="C6" s="50" t="n">
        <x:v>46404</x:v>
      </x:c>
      <x:c r="D6" s="52" t="n">
        <x:v>0.236111111111111</x:v>
      </x:c>
      <x:c r="E6" s="52" t="n">
        <x:v>0.34375</x:v>
      </x:c>
      <x:c r="F6" t="str">
        <x:v>Amsterdam</x:v>
      </x:c>
      <x:c r="G6" t="str">
        <x:v>Netherlands</x:v>
      </x:c>
      <x:c r="H6" t="str">
        <x:v>KLM</x:v>
      </x:c>
      <x:c r="I6" t="str">
        <x:v>KL922</x:v>
      </x:c>
      <x:c r="J6"/>
    </x:row>
    <x:row r="7">
      <x:c r="A7" t="str">
        <x:v>Edinburgh</x:v>
      </x:c>
      <x:c r="B7" t="str">
        <x:v>Sun</x:v>
      </x:c>
      <x:c r="C7" s="50" t="n">
        <x:v>46404</x:v>
      </x:c>
      <x:c r="D7" s="52" t="n">
        <x:v>0.243055555555556</x:v>
      </x:c>
      <x:c r="E7" s="52" t="n">
        <x:v>0.368055555555556</x:v>
      </x:c>
      <x:c r="F7" t="str">
        <x:v>Paris CDG</x:v>
      </x:c>
      <x:c r="G7" t="str">
        <x:v>France</x:v>
      </x:c>
      <x:c r="H7" t="str">
        <x:v>Air France</x:v>
      </x:c>
      <x:c r="I7" t="str">
        <x:v>AF1887</x:v>
      </x:c>
      <x:c r="J7"/>
    </x:row>
    <x:row r="8">
      <x:c r="A8" t="str">
        <x:v>Edinburgh</x:v>
      </x:c>
      <x:c r="B8" t="str">
        <x:v>Sun</x:v>
      </x:c>
      <x:c r="C8" s="50" t="n">
        <x:v>46404</x:v>
      </x:c>
      <x:c r="D8" s="52" t="n">
        <x:v>0.246527777777778</x:v>
      </x:c>
      <x:c r="E8" s="52" t="n">
        <x:v>0.364583333333333</x:v>
      </x:c>
      <x:c r="F8" t="str">
        <x:v>Porto</x:v>
      </x:c>
      <x:c r="G8" t="str">
        <x:v>Portugal</x:v>
      </x:c>
      <x:c r="H8" t="str">
        <x:v>Ryanair</x:v>
      </x:c>
      <x:c r="I8" t="str">
        <x:v>FR5679</x:v>
      </x:c>
      <x:c r="J8"/>
    </x:row>
    <x:row r="9">
      <x:c r="A9" t="str">
        <x:v>Edinburgh</x:v>
      </x:c>
      <x:c r="B9" t="str">
        <x:v>Sun</x:v>
      </x:c>
      <x:c r="C9" s="50" t="n">
        <x:v>46404</x:v>
      </x:c>
      <x:c r="D9" s="52" t="n">
        <x:v>0.253472222222222</x:v>
      </x:c>
      <x:c r="E9" s="52" t="n">
        <x:v>0.4375</x:v>
      </x:c>
      <x:c r="F9" t="str">
        <x:v>Tirana</x:v>
      </x:c>
      <x:c r="G9" t="str">
        <x:v>Albania</x:v>
      </x:c>
      <x:c r="H9" t="str">
        <x:v>Ryanair UK</x:v>
      </x:c>
      <x:c r="I9" t="str">
        <x:v>RK8294</x:v>
      </x:c>
      <x:c r="J9"/>
    </x:row>
    <x:row r="10">
      <x:c r="A10" t="str">
        <x:v>Edinburgh</x:v>
      </x:c>
      <x:c r="B10" t="str">
        <x:v>Sun</x:v>
      </x:c>
      <x:c r="C10" s="50" t="n">
        <x:v>46404</x:v>
      </x:c>
      <x:c r="D10" s="52" t="n">
        <x:v>0.253472222222222</x:v>
      </x:c>
      <x:c r="E10" s="52" t="n">
        <x:v>0.392361111111111</x:v>
      </x:c>
      <x:c r="F10" t="str">
        <x:v>Gdańsk</x:v>
      </x:c>
      <x:c r="G10" t="str">
        <x:v>Poland</x:v>
      </x:c>
      <x:c r="H10" t="str">
        <x:v>Ryanair</x:v>
      </x:c>
      <x:c r="I10" t="str">
        <x:v>FR6124</x:v>
      </x:c>
      <x:c r="J10"/>
    </x:row>
    <x:row r="11">
      <x:c r="A11" t="str">
        <x:v>Edinburgh</x:v>
      </x:c>
      <x:c r="B11" t="str">
        <x:v>Sun</x:v>
      </x:c>
      <x:c r="C11" s="50" t="n">
        <x:v>46404</x:v>
      </x:c>
      <x:c r="D11" s="52" t="n">
        <x:v>0.253472222222222</x:v>
      </x:c>
      <x:c r="E11" s="52" t="n">
        <x:v>0.454861111111111</x:v>
      </x:c>
      <x:c r="F11" t="str">
        <x:v>Tenerife South</x:v>
      </x:c>
      <x:c r="G11" t="str">
        <x:v>Spain (Canaries)</x:v>
      </x:c>
      <x:c r="H11" t="str">
        <x:v>Ryanair</x:v>
      </x:c>
      <x:c r="I11" t="str">
        <x:v>FR2980</x:v>
      </x:c>
      <x:c r="J11" t="str">
        <x:v>Atlantic islands (Spanish/Portuguese territory)</x:v>
      </x:c>
    </x:row>
    <x:row r="12">
      <x:c r="A12" t="str">
        <x:v>Edinburgh</x:v>
      </x:c>
      <x:c r="B12" t="str">
        <x:v>Sun</x:v>
      </x:c>
      <x:c r="C12" s="50" t="n">
        <x:v>46404</x:v>
      </x:c>
      <x:c r="D12" s="52" t="n">
        <x:v>0.256944444444444</x:v>
      </x:c>
      <x:c r="E12" s="52" t="n">
        <x:v>0.378472222222222</x:v>
      </x:c>
      <x:c r="F12" t="str">
        <x:v>Frankfurt</x:v>
      </x:c>
      <x:c r="G12" t="str">
        <x:v>Germany</x:v>
      </x:c>
      <x:c r="H12" t="str">
        <x:v>Lufthansa</x:v>
      </x:c>
      <x:c r="I12" t="str">
        <x:v>LH965</x:v>
      </x:c>
      <x:c r="J12"/>
    </x:row>
    <x:row r="13">
      <x:c r="A13" t="str">
        <x:v>Edinburgh</x:v>
      </x:c>
      <x:c r="B13" t="str">
        <x:v>Sun</x:v>
      </x:c>
      <x:c r="C13" s="50" t="n">
        <x:v>46404</x:v>
      </x:c>
      <x:c r="D13" s="52" t="n">
        <x:v>0.256944444444444</x:v>
      </x:c>
      <x:c r="E13" s="52" t="n">
        <x:v>0.434027777777778</x:v>
      </x:c>
      <x:c r="F13" t="str">
        <x:v>Alicante</x:v>
      </x:c>
      <x:c r="G13" t="str">
        <x:v>Spain</x:v>
      </x:c>
      <x:c r="H13" t="str">
        <x:v>Jet2</x:v>
      </x:c>
      <x:c r="I13" t="str">
        <x:v>LS775</x:v>
      </x:c>
      <x:c r="J13"/>
    </x:row>
    <x:row r="14">
      <x:c r="A14" t="str">
        <x:v>Edinburgh</x:v>
      </x:c>
      <x:c r="B14" t="str">
        <x:v>Sun</x:v>
      </x:c>
      <x:c r="C14" s="50" t="n">
        <x:v>46404</x:v>
      </x:c>
      <x:c r="D14" s="52" t="n">
        <x:v>0.260416666666667</x:v>
      </x:c>
      <x:c r="E14" s="52" t="n">
        <x:v>0.402777777777778</x:v>
      </x:c>
      <x:c r="F14" t="str">
        <x:v>Santander</x:v>
      </x:c>
      <x:c r="G14" t="str">
        <x:v>Spain</x:v>
      </x:c>
      <x:c r="H14" t="str">
        <x:v>Ryanair</x:v>
      </x:c>
      <x:c r="I14" t="str">
        <x:v>FR5631</x:v>
      </x:c>
      <x:c r="J14"/>
    </x:row>
    <x:row r="15">
      <x:c r="A15" t="str">
        <x:v>Edinburgh</x:v>
      </x:c>
      <x:c r="B15" t="str">
        <x:v>Sun</x:v>
      </x:c>
      <x:c r="C15" s="50" t="n">
        <x:v>46404</x:v>
      </x:c>
      <x:c r="D15" s="52" t="n">
        <x:v>0.267361111111111</x:v>
      </x:c>
      <x:c r="E15" s="52" t="n">
        <x:v>0.40625</x:v>
      </x:c>
      <x:c r="F15" t="str">
        <x:v>Poznań</x:v>
      </x:c>
      <x:c r="G15" t="str">
        <x:v>Poland</x:v>
      </x:c>
      <x:c r="H15" t="str">
        <x:v>Ryanair</x:v>
      </x:c>
      <x:c r="I15" t="str">
        <x:v>FR6618</x:v>
      </x:c>
      <x:c r="J15"/>
    </x:row>
    <x:row r="16">
      <x:c r="A16" t="str">
        <x:v>Edinburgh</x:v>
      </x:c>
      <x:c r="B16" t="str">
        <x:v>Sun</x:v>
      </x:c>
      <x:c r="C16" s="50" t="n">
        <x:v>46404</x:v>
      </x:c>
      <x:c r="D16" s="52" t="n">
        <x:v>0.270833333333333</x:v>
      </x:c>
      <x:c r="E16" s="52" t="n">
        <x:v>0.420138888888889</x:v>
      </x:c>
      <x:c r="F16" t="str">
        <x:v>Turin</x:v>
      </x:c>
      <x:c r="G16" t="str">
        <x:v>Italy</x:v>
      </x:c>
      <x:c r="H16" t="str">
        <x:v>Jet2</x:v>
      </x:c>
      <x:c r="I16" t="str">
        <x:v>LS719</x:v>
      </x:c>
      <x:c r="J16"/>
    </x:row>
    <x:row r="17">
      <x:c r="A17" t="str">
        <x:v>Edinburgh</x:v>
      </x:c>
      <x:c r="B17" t="str">
        <x:v>Sun</x:v>
      </x:c>
      <x:c r="C17" s="50" t="n">
        <x:v>46404</x:v>
      </x:c>
      <x:c r="D17" s="52" t="n">
        <x:v>0.288194444444444</x:v>
      </x:c>
      <x:c r="E17" s="52" t="n">
        <x:v>0.423611111111111</x:v>
      </x:c>
      <x:c r="F17" t="str">
        <x:v>Geneva</x:v>
      </x:c>
      <x:c r="G17" t="str">
        <x:v>Switzerland</x:v>
      </x:c>
      <x:c r="H17" t="str">
        <x:v>easyJet</x:v>
      </x:c>
      <x:c r="I17" t="str">
        <x:v>U23291</x:v>
      </x:c>
      <x:c r="J17"/>
    </x:row>
    <x:row r="18">
      <x:c r="A18" t="str">
        <x:v>Edinburgh</x:v>
      </x:c>
      <x:c r="B18" t="str">
        <x:v>Sun</x:v>
      </x:c>
      <x:c r="C18" s="50" t="n">
        <x:v>46404</x:v>
      </x:c>
      <x:c r="D18" s="52" t="n">
        <x:v>0.291666666666667</x:v>
      </x:c>
      <x:c r="E18" s="52" t="n">
        <x:v>0.496527777777778</x:v>
      </x:c>
      <x:c r="F18" t="str">
        <x:v>Fuerteventura</x:v>
      </x:c>
      <x:c r="G18" t="str">
        <x:v>Spain (Canaries)</x:v>
      </x:c>
      <x:c r="H18" t="str">
        <x:v>easyJet</x:v>
      </x:c>
      <x:c r="I18" t="str">
        <x:v>U23207</x:v>
      </x:c>
      <x:c r="J18" t="str">
        <x:v>Atlantic islands (Spanish/Portuguese territory)</x:v>
      </x:c>
    </x:row>
    <x:row r="19">
      <x:c r="A19" t="str">
        <x:v>Edinburgh</x:v>
      </x:c>
      <x:c r="B19" t="str">
        <x:v>Sun</x:v>
      </x:c>
      <x:c r="C19" s="50" t="n">
        <x:v>46404</x:v>
      </x:c>
      <x:c r="D19" s="52" t="n">
        <x:v>0.291666666666667</x:v>
      </x:c>
      <x:c r="E19" s="52" t="n">
        <x:v>0.413194444444444</x:v>
      </x:c>
      <x:c r="F19" t="str">
        <x:v>Paris CDG</x:v>
      </x:c>
      <x:c r="G19" t="str">
        <x:v>France</x:v>
      </x:c>
      <x:c r="H19" t="str">
        <x:v>easyJet</x:v>
      </x:c>
      <x:c r="I19" t="str">
        <x:v>U23241</x:v>
      </x:c>
      <x:c r="J19"/>
    </x:row>
    <x:row r="20">
      <x:c r="A20" t="str">
        <x:v>Edinburgh</x:v>
      </x:c>
      <x:c r="B20" t="str">
        <x:v>Sun</x:v>
      </x:c>
      <x:c r="C20" s="50" t="n">
        <x:v>46404</x:v>
      </x:c>
      <x:c r="D20" s="52" t="n">
        <x:v>0.295138888888889</x:v>
      </x:c>
      <x:c r="E20" s="52" t="n">
        <x:v>0.430555555555556</x:v>
      </x:c>
      <x:c r="F20" t="str">
        <x:v>Innsbruck</x:v>
      </x:c>
      <x:c r="G20" t="str">
        <x:v>Austria</x:v>
      </x:c>
      <x:c r="H20" t="str">
        <x:v>easyJet</x:v>
      </x:c>
      <x:c r="I20" t="str">
        <x:v>U23307</x:v>
      </x:c>
      <x:c r="J20"/>
    </x:row>
    <x:row r="21">
      <x:c r="A21" t="str">
        <x:v>Edinburgh</x:v>
      </x:c>
      <x:c r="B21" t="str">
        <x:v>Sun</x:v>
      </x:c>
      <x:c r="C21" s="50" t="n">
        <x:v>46404</x:v>
      </x:c>
      <x:c r="D21" s="52" t="n">
        <x:v>0.305555555555556</x:v>
      </x:c>
      <x:c r="E21" s="52" t="n">
        <x:v>0.440972222222222</x:v>
      </x:c>
      <x:c r="F21" t="str">
        <x:v>Lisbon</x:v>
      </x:c>
      <x:c r="G21" t="str">
        <x:v>Portugal</x:v>
      </x:c>
      <x:c r="H21" t="str">
        <x:v>easyJet</x:v>
      </x:c>
      <x:c r="I21" t="str">
        <x:v>U23321</x:v>
      </x:c>
      <x:c r="J21"/>
    </x:row>
    <x:row r="22">
      <x:c r="A22" t="str">
        <x:v>Edinburgh</x:v>
      </x:c>
      <x:c r="B22" t="str">
        <x:v>Sun</x:v>
      </x:c>
      <x:c r="C22" s="50" t="n">
        <x:v>46404</x:v>
      </x:c>
      <x:c r="D22" s="52" t="n">
        <x:v>0.315972222222222</x:v>
      </x:c>
      <x:c r="E22" s="52" t="n">
        <x:v>0.513888888888889</x:v>
      </x:c>
      <x:c r="F22" t="str">
        <x:v>Kaunas</x:v>
      </x:c>
      <x:c r="G22" t="str">
        <x:v>Lithuania</x:v>
      </x:c>
      <x:c r="H22" t="str">
        <x:v>Ryanair</x:v>
      </x:c>
      <x:c r="I22" t="str">
        <x:v>FR2886</x:v>
      </x:c>
      <x:c r="J22"/>
    </x:row>
    <x:row r="23">
      <x:c r="A23" t="str">
        <x:v>Edinburgh</x:v>
      </x:c>
      <x:c r="B23" t="str">
        <x:v>Sun</x:v>
      </x:c>
      <x:c r="C23" s="50" t="n">
        <x:v>46404</x:v>
      </x:c>
      <x:c r="D23" s="52" t="n">
        <x:v>0.322916666666667</x:v>
      </x:c>
      <x:c r="E23" s="52" t="n">
        <x:v>0.427083333333333</x:v>
      </x:c>
      <x:c r="F23" t="str">
        <x:v>Reykjavik</x:v>
      </x:c>
      <x:c r="G23" t="str">
        <x:v>Iceland</x:v>
      </x:c>
      <x:c r="H23" t="str">
        <x:v>easyJet</x:v>
      </x:c>
      <x:c r="I23" t="str">
        <x:v>U23315</x:v>
      </x:c>
      <x:c r="J23"/>
    </x:row>
    <x:row r="24">
      <x:c r="A24" t="str">
        <x:v>Edinburgh</x:v>
      </x:c>
      <x:c r="B24" t="str">
        <x:v>Sun</x:v>
      </x:c>
      <x:c r="C24" s="50" t="n">
        <x:v>46404</x:v>
      </x:c>
      <x:c r="D24" s="52" t="n">
        <x:v>0.322916666666667</x:v>
      </x:c>
      <x:c r="E24" s="52" t="n">
        <x:v>0.46875</x:v>
      </x:c>
      <x:c r="F24" t="str">
        <x:v>Geneva</x:v>
      </x:c>
      <x:c r="G24" t="str">
        <x:v>Switzerland</x:v>
      </x:c>
      <x:c r="H24" t="str">
        <x:v>Jet2</x:v>
      </x:c>
      <x:c r="I24" t="str">
        <x:v>LS779</x:v>
      </x:c>
      <x:c r="J24"/>
    </x:row>
    <x:row r="25">
      <x:c r="A25" t="str">
        <x:v>Edinburgh</x:v>
      </x:c>
      <x:c r="B25" t="str">
        <x:v>Sun</x:v>
      </x:c>
      <x:c r="C25" s="50" t="n">
        <x:v>46404</x:v>
      </x:c>
      <x:c r="D25" s="52" t="n">
        <x:v>0.340277777777778</x:v>
      </x:c>
      <x:c r="E25" s="52" t="n">
        <x:v>0.489583333333333</x:v>
      </x:c>
      <x:c r="F25" t="str">
        <x:v>Warsaw Modlin</x:v>
      </x:c>
      <x:c r="G25" t="str">
        <x:v>Poland</x:v>
      </x:c>
      <x:c r="H25" t="str">
        <x:v>Ryanair</x:v>
      </x:c>
      <x:c r="I25" t="str">
        <x:v>FR4524</x:v>
      </x:c>
      <x:c r="J25"/>
    </x:row>
    <x:row r="26">
      <x:c r="A26" t="str">
        <x:v>Edinburgh</x:v>
      </x:c>
      <x:c r="B26" t="str">
        <x:v>Sun</x:v>
      </x:c>
      <x:c r="C26" s="50" t="n">
        <x:v>46404</x:v>
      </x:c>
      <x:c r="D26" s="52" t="n">
        <x:v>0.34375</x:v>
      </x:c>
      <x:c r="E26" s="52" t="n">
        <x:v>0.538194444444444</x:v>
      </x:c>
      <x:c r="F26" t="str">
        <x:v>Lanzarote</x:v>
      </x:c>
      <x:c r="G26" t="str">
        <x:v>Spain (Canaries)</x:v>
      </x:c>
      <x:c r="H26" t="str">
        <x:v>Jet2</x:v>
      </x:c>
      <x:c r="I26" t="str">
        <x:v>LS705</x:v>
      </x:c>
      <x:c r="J26" t="str">
        <x:v>Atlantic islands (Spanish/Portuguese territory)</x:v>
      </x:c>
    </x:row>
    <x:row r="27">
      <x:c r="A27" t="str">
        <x:v>Edinburgh</x:v>
      </x:c>
      <x:c r="B27" t="str">
        <x:v>Sun</x:v>
      </x:c>
      <x:c r="C27" s="50" t="n">
        <x:v>46404</x:v>
      </x:c>
      <x:c r="D27" s="52" t="n">
        <x:v>0.34375</x:v>
      </x:c>
      <x:c r="E27" s="52" t="n">
        <x:v>0.496527777777778</x:v>
      </x:c>
      <x:c r="F27" t="str">
        <x:v>Barcelona</x:v>
      </x:c>
      <x:c r="G27" t="str">
        <x:v>Spain</x:v>
      </x:c>
      <x:c r="H27" t="str">
        <x:v>Ryanair</x:v>
      </x:c>
      <x:c r="I27" t="str">
        <x:v>FR6266</x:v>
      </x:c>
      <x:c r="J27"/>
    </x:row>
    <x:row r="28">
      <x:c r="A28" t="str">
        <x:v>Edinburgh</x:v>
      </x:c>
      <x:c r="B28" t="str">
        <x:v>Sun</x:v>
      </x:c>
      <x:c r="C28" s="50" t="n">
        <x:v>46404</x:v>
      </x:c>
      <x:c r="D28" s="52" t="n">
        <x:v>0.350694444444444</x:v>
      </x:c>
      <x:c r="E28" s="52" t="n">
        <x:v>0.513888888888889</x:v>
      </x:c>
      <x:c r="F28" t="str">
        <x:v>Madrid</x:v>
      </x:c>
      <x:c r="G28" t="str">
        <x:v>Spain</x:v>
      </x:c>
      <x:c r="H28" t="str">
        <x:v>Ryanair</x:v>
      </x:c>
      <x:c r="I28" t="str">
        <x:v>FR189</x:v>
      </x:c>
      <x:c r="J28"/>
    </x:row>
    <x:row r="29">
      <x:c r="A29" t="str">
        <x:v>Edinburgh</x:v>
      </x:c>
      <x:c r="B29" t="str">
        <x:v>Sun</x:v>
      </x:c>
      <x:c r="C29" s="50" t="n">
        <x:v>46404</x:v>
      </x:c>
      <x:c r="D29" s="52" t="n">
        <x:v>0.375</x:v>
      </x:c>
      <x:c r="E29" s="52" t="n">
        <x:v>0.534722222222222</x:v>
      </x:c>
      <x:c r="F29" t="str">
        <x:v>Rzeszów</x:v>
      </x:c>
      <x:c r="G29" t="str">
        <x:v>Poland</x:v>
      </x:c>
      <x:c r="H29" t="str">
        <x:v>Ryanair</x:v>
      </x:c>
      <x:c r="I29" t="str">
        <x:v>FR4535</x:v>
      </x:c>
      <x:c r="J29"/>
    </x:row>
    <x:row r="30">
      <x:c r="A30" t="str">
        <x:v>Edinburgh</x:v>
      </x:c>
      <x:c r="B30" t="str">
        <x:v>Sun</x:v>
      </x:c>
      <x:c r="C30" s="50" t="n">
        <x:v>46404</x:v>
      </x:c>
      <x:c r="D30" s="52" t="n">
        <x:v>0.392361111111111</x:v>
      </x:c>
      <x:c r="E30" s="52" t="n">
        <x:v>0.597222222222222</x:v>
      </x:c>
      <x:c r="F30" t="str">
        <x:v>Tenerife South</x:v>
      </x:c>
      <x:c r="G30" t="str">
        <x:v>Spain (Canaries)</x:v>
      </x:c>
      <x:c r="H30" t="str">
        <x:v>Jet2</x:v>
      </x:c>
      <x:c r="I30" t="str">
        <x:v>LS739</x:v>
      </x:c>
      <x:c r="J30" t="str">
        <x:v>Atlantic islands (Spanish/Portuguese territory)</x:v>
      </x:c>
    </x:row>
    <x:row r="31">
      <x:c r="A31" t="str">
        <x:v>Edinburgh</x:v>
      </x:c>
      <x:c r="B31" t="str">
        <x:v>Sun</x:v>
      </x:c>
      <x:c r="C31" s="50" t="n">
        <x:v>46404</x:v>
      </x:c>
      <x:c r="D31" s="52" t="n">
        <x:v>0.416666666666667</x:v>
      </x:c>
      <x:c r="E31" s="52" t="n">
        <x:v>0.614583333333333</x:v>
      </x:c>
      <x:c r="F31" t="str">
        <x:v>Fuerteventura</x:v>
      </x:c>
      <x:c r="G31" t="str">
        <x:v>Spain (Canaries)</x:v>
      </x:c>
      <x:c r="H31" t="str">
        <x:v>Jet2</x:v>
      </x:c>
      <x:c r="I31" t="str">
        <x:v>LS737</x:v>
      </x:c>
      <x:c r="J31" t="str">
        <x:v>Atlantic islands (Spanish/Portuguese territory)</x:v>
      </x:c>
    </x:row>
    <x:row r="32">
      <x:c r="A32" t="str">
        <x:v>Edinburgh</x:v>
      </x:c>
      <x:c r="B32" t="str">
        <x:v>Sun</x:v>
      </x:c>
      <x:c r="C32" s="50" t="n">
        <x:v>46404</x:v>
      </x:c>
      <x:c r="D32" s="52" t="n">
        <x:v>0.444444444444444</x:v>
      </x:c>
      <x:c r="E32" s="52" t="n">
        <x:v>0.756944444444444</x:v>
      </x:c>
      <x:c r="F32" t="str">
        <x:v>Istanbul</x:v>
      </x:c>
      <x:c r="G32" t="str">
        <x:v>Turkey</x:v>
      </x:c>
      <x:c r="H32" t="str">
        <x:v>Turkish Airlines</x:v>
      </x:c>
      <x:c r="I32" t="str">
        <x:v>TK1344</x:v>
      </x:c>
      <x:c r="J32" t="str">
        <x:v>Turkey (transcontinental)</x:v>
      </x:c>
    </x:row>
    <x:row r="33">
      <x:c r="A33" t="str">
        <x:v>Edinburgh</x:v>
      </x:c>
      <x:c r="B33" t="str">
        <x:v>Sun</x:v>
      </x:c>
      <x:c r="C33" s="50" t="n">
        <x:v>46404</x:v>
      </x:c>
      <x:c r="D33" s="52" t="n">
        <x:v>0.458333333333333</x:v>
      </x:c>
      <x:c r="E33" s="52" t="n">
        <x:v>0.5625</x:v>
      </x:c>
      <x:c r="F33" t="str">
        <x:v>Amsterdam</x:v>
      </x:c>
      <x:c r="G33" t="str">
        <x:v>Netherlands</x:v>
      </x:c>
      <x:c r="H33" t="str">
        <x:v>KLM</x:v>
      </x:c>
      <x:c r="I33" t="str">
        <x:v>KL926</x:v>
      </x:c>
      <x:c r="J33"/>
    </x:row>
    <x:row r="34">
      <x:c r="A34" t="str">
        <x:v>Edinburgh</x:v>
      </x:c>
      <x:c r="B34" t="str">
        <x:v>Sun</x:v>
      </x:c>
      <x:c r="C34" s="50" t="n">
        <x:v>46404</x:v>
      </x:c>
      <x:c r="D34" s="52" t="n">
        <x:v>0.472222222222222</x:v>
      </x:c>
      <x:c r="E34" s="52" t="n">
        <x:v>0.579861111111111</x:v>
      </x:c>
      <x:c r="F34" t="str">
        <x:v>Reykjavik</x:v>
      </x:c>
      <x:c r="G34" t="str">
        <x:v>Iceland</x:v>
      </x:c>
      <x:c r="H34" t="str">
        <x:v>Icelandair</x:v>
      </x:c>
      <x:c r="I34" t="str">
        <x:v>FI435</x:v>
      </x:c>
      <x:c r="J34"/>
    </x:row>
    <x:row r="35">
      <x:c r="A35" t="str">
        <x:v>Edinburgh</x:v>
      </x:c>
      <x:c r="B35" t="str">
        <x:v>Sun</x:v>
      </x:c>
      <x:c r="C35" s="50" t="n">
        <x:v>46404</x:v>
      </x:c>
      <x:c r="D35" s="52" t="n">
        <x:v>0.479166666666667</x:v>
      </x:c>
      <x:c r="E35" s="52" t="n">
        <x:v>0.600694444444444</x:v>
      </x:c>
      <x:c r="F35" t="str">
        <x:v>Paris CDG</x:v>
      </x:c>
      <x:c r="G35" t="str">
        <x:v>France</x:v>
      </x:c>
      <x:c r="H35" t="str">
        <x:v>Air France</x:v>
      </x:c>
      <x:c r="I35" t="str">
        <x:v>AF1687</x:v>
      </x:c>
      <x:c r="J35"/>
    </x:row>
    <x:row r="36">
      <x:c r="A36" t="str">
        <x:v>Edinburgh</x:v>
      </x:c>
      <x:c r="B36" t="str">
        <x:v>Sun</x:v>
      </x:c>
      <x:c r="C36" s="50" t="n">
        <x:v>46404</x:v>
      </x:c>
      <x:c r="D36" s="52" t="n">
        <x:v>0.489583333333333</x:v>
      </x:c>
      <x:c r="E36" s="52" t="n">
        <x:v>0.625</x:v>
      </x:c>
      <x:c r="F36" t="str">
        <x:v>Stockholm Arlanda</x:v>
      </x:c>
      <x:c r="G36" t="str">
        <x:v>Sweden</x:v>
      </x:c>
      <x:c r="H36" t="str">
        <x:v>Norwegian</x:v>
      </x:c>
      <x:c r="I36" t="str">
        <x:v>D84464</x:v>
      </x:c>
      <x:c r="J36"/>
    </x:row>
    <x:row r="37">
      <x:c r="A37" t="str">
        <x:v>Edinburgh</x:v>
      </x:c>
      <x:c r="B37" t="str">
        <x:v>Sun</x:v>
      </x:c>
      <x:c r="C37" s="50" t="n">
        <x:v>46404</x:v>
      </x:c>
      <x:c r="D37" s="52" t="n">
        <x:v>0.493055555555556</x:v>
      </x:c>
      <x:c r="E37" s="52" t="n">
        <x:v>0.607638888888889</x:v>
      </x:c>
      <x:c r="F37" t="str">
        <x:v>Brussels Charleroi</x:v>
      </x:c>
      <x:c r="G37" t="str">
        <x:v>Belgium</x:v>
      </x:c>
      <x:c r="H37" t="str">
        <x:v>Ryanair</x:v>
      </x:c>
      <x:c r="I37" t="str">
        <x:v>FR7322</x:v>
      </x:c>
      <x:c r="J37"/>
    </x:row>
    <x:row r="38">
      <x:c r="A38" t="str">
        <x:v>Edinburgh</x:v>
      </x:c>
      <x:c r="B38" t="str">
        <x:v>Sun</x:v>
      </x:c>
      <x:c r="C38" s="50" t="n">
        <x:v>46404</x:v>
      </x:c>
      <x:c r="D38" s="52" t="n">
        <x:v>0.496527777777778</x:v>
      </x:c>
      <x:c r="E38" s="52" t="n">
        <x:v>0.611111111111111</x:v>
      </x:c>
      <x:c r="F38" t="str">
        <x:v>Oslo</x:v>
      </x:c>
      <x:c r="G38" t="str">
        <x:v>Norway</x:v>
      </x:c>
      <x:c r="H38" t="str">
        <x:v>Norwegian</x:v>
      </x:c>
      <x:c r="I38" t="str">
        <x:v>DY1641</x:v>
      </x:c>
      <x:c r="J38"/>
    </x:row>
    <x:row r="39">
      <x:c r="A39" t="str">
        <x:v>Edinburgh</x:v>
      </x:c>
      <x:c r="B39" t="str">
        <x:v>Sun</x:v>
      </x:c>
      <x:c r="C39" s="50" t="n">
        <x:v>46404</x:v>
      </x:c>
      <x:c r="D39" s="52" t="n">
        <x:v>0.496527777777778</x:v>
      </x:c>
      <x:c r="E39" s="52" t="n">
        <x:v>0.743055555555556</x:v>
      </x:c>
      <x:c r="F39" t="str">
        <x:v>Athens</x:v>
      </x:c>
      <x:c r="G39" t="str">
        <x:v>Greece</x:v>
      </x:c>
      <x:c r="H39" t="str">
        <x:v>Aegean</x:v>
      </x:c>
      <x:c r="I39" t="str">
        <x:v>A3633</x:v>
      </x:c>
      <x:c r="J39"/>
    </x:row>
    <x:row r="40">
      <x:c r="A40" t="str">
        <x:v>Edinburgh</x:v>
      </x:c>
      <x:c r="B40" t="str">
        <x:v>Mon</x:v>
      </x:c>
      <x:c r="C40" s="50" t="n">
        <x:v>46405</x:v>
      </x:c>
      <x:c r="D40" s="52" t="n">
        <x:v>0.236111111111111</x:v>
      </x:c>
      <x:c r="E40" s="52" t="n">
        <x:v>0.34375</x:v>
      </x:c>
      <x:c r="F40" t="str">
        <x:v>Amsterdam</x:v>
      </x:c>
      <x:c r="G40" t="str">
        <x:v>Netherlands</x:v>
      </x:c>
      <x:c r="H40" t="str">
        <x:v>KLM</x:v>
      </x:c>
      <x:c r="I40" t="str">
        <x:v>KL922</x:v>
      </x:c>
      <x:c r="J40"/>
    </x:row>
    <x:row r="41">
      <x:c r="A41" t="str">
        <x:v>Edinburgh</x:v>
      </x:c>
      <x:c r="B41" t="str">
        <x:v>Mon</x:v>
      </x:c>
      <x:c r="C41" s="50" t="n">
        <x:v>46405</x:v>
      </x:c>
      <x:c r="D41" s="52" t="n">
        <x:v>0.243055555555556</x:v>
      </x:c>
      <x:c r="E41" s="52" t="n">
        <x:v>0.368055555555556</x:v>
      </x:c>
      <x:c r="F41" t="str">
        <x:v>Paris CDG</x:v>
      </x:c>
      <x:c r="G41" t="str">
        <x:v>France</x:v>
      </x:c>
      <x:c r="H41" t="str">
        <x:v>Air France</x:v>
      </x:c>
      <x:c r="I41" t="str">
        <x:v>AF1887</x:v>
      </x:c>
      <x:c r="J41"/>
    </x:row>
    <x:row r="42">
      <x:c r="A42" t="str">
        <x:v>Edinburgh</x:v>
      </x:c>
      <x:c r="B42" t="str">
        <x:v>Mon</x:v>
      </x:c>
      <x:c r="C42" s="50" t="n">
        <x:v>46405</x:v>
      </x:c>
      <x:c r="D42" s="52" t="n">
        <x:v>0.253472222222222</x:v>
      </x:c>
      <x:c r="E42" s="52" t="n">
        <x:v>0.482638888888889</x:v>
      </x:c>
      <x:c r="F42" t="str">
        <x:v>Sofia</x:v>
      </x:c>
      <x:c r="G42" t="str">
        <x:v>Bulgaria</x:v>
      </x:c>
      <x:c r="H42" t="str">
        <x:v>Ryanair</x:v>
      </x:c>
      <x:c r="I42" t="str">
        <x:v>FR5160</x:v>
      </x:c>
      <x:c r="J42"/>
    </x:row>
    <x:row r="43">
      <x:c r="A43" t="str">
        <x:v>Edinburgh</x:v>
      </x:c>
      <x:c r="B43" t="str">
        <x:v>Mon</x:v>
      </x:c>
      <x:c r="C43" s="50" t="n">
        <x:v>46405</x:v>
      </x:c>
      <x:c r="D43" s="52" t="n">
        <x:v>0.253472222222222</x:v>
      </x:c>
      <x:c r="E43" s="52" t="n">
        <x:v>0.375</x:v>
      </x:c>
      <x:c r="F43" t="str">
        <x:v>Paris CDG</x:v>
      </x:c>
      <x:c r="G43" t="str">
        <x:v>France</x:v>
      </x:c>
      <x:c r="H43" t="str">
        <x:v>easyJet</x:v>
      </x:c>
      <x:c r="I43" t="str">
        <x:v>U23245</x:v>
      </x:c>
      <x:c r="J43"/>
    </x:row>
    <x:row r="44">
      <x:c r="A44" t="str">
        <x:v>Edinburgh</x:v>
      </x:c>
      <x:c r="B44" t="str">
        <x:v>Mon</x:v>
      </x:c>
      <x:c r="C44" s="50" t="n">
        <x:v>46405</x:v>
      </x:c>
      <x:c r="D44" s="52" t="n">
        <x:v>0.253472222222222</x:v>
      </x:c>
      <x:c r="E44" s="52" t="n">
        <x:v>0.454861111111111</x:v>
      </x:c>
      <x:c r="F44" t="str">
        <x:v>Tenerife South</x:v>
      </x:c>
      <x:c r="G44" t="str">
        <x:v>Spain (Canaries)</x:v>
      </x:c>
      <x:c r="H44" t="str">
        <x:v>Ryanair</x:v>
      </x:c>
      <x:c r="I44" t="str">
        <x:v>FR2969</x:v>
      </x:c>
      <x:c r="J44" t="str">
        <x:v>Atlantic islands (Spanish/Portuguese territory)</x:v>
      </x:c>
    </x:row>
    <x:row r="45">
      <x:c r="A45" t="str">
        <x:v>Edinburgh</x:v>
      </x:c>
      <x:c r="B45" t="str">
        <x:v>Mon</x:v>
      </x:c>
      <x:c r="C45" s="50" t="n">
        <x:v>46405</x:v>
      </x:c>
      <x:c r="D45" s="52" t="n">
        <x:v>0.256944444444444</x:v>
      </x:c>
      <x:c r="E45" s="52" t="n">
        <x:v>0.378472222222222</x:v>
      </x:c>
      <x:c r="F45" t="str">
        <x:v>Frankfurt</x:v>
      </x:c>
      <x:c r="G45" t="str">
        <x:v>Germany</x:v>
      </x:c>
      <x:c r="H45" t="str">
        <x:v>Lufthansa</x:v>
      </x:c>
      <x:c r="I45" t="str">
        <x:v>LH965</x:v>
      </x:c>
      <x:c r="J45"/>
    </x:row>
    <x:row r="46">
      <x:c r="A46" t="str">
        <x:v>Edinburgh</x:v>
      </x:c>
      <x:c r="B46" t="str">
        <x:v>Mon</x:v>
      </x:c>
      <x:c r="C46" s="50" t="n">
        <x:v>46405</x:v>
      </x:c>
      <x:c r="D46" s="52" t="n">
        <x:v>0.256944444444444</x:v>
      </x:c>
      <x:c r="E46" s="52" t="n">
        <x:v>0.375</x:v>
      </x:c>
      <x:c r="F46" t="str">
        <x:v>Porto</x:v>
      </x:c>
      <x:c r="G46" t="str">
        <x:v>Portugal</x:v>
      </x:c>
      <x:c r="H46" t="str">
        <x:v>Ryanair</x:v>
      </x:c>
      <x:c r="I46" t="str">
        <x:v>FR5679</x:v>
      </x:c>
      <x:c r="J46"/>
    </x:row>
    <x:row r="47">
      <x:c r="A47" t="str">
        <x:v>Edinburgh</x:v>
      </x:c>
      <x:c r="B47" t="str">
        <x:v>Mon</x:v>
      </x:c>
      <x:c r="C47" s="50" t="n">
        <x:v>46405</x:v>
      </x:c>
      <x:c r="D47" s="52" t="n">
        <x:v>0.263888888888889</x:v>
      </x:c>
      <x:c r="E47" s="52" t="n">
        <x:v>0.399305555555556</x:v>
      </x:c>
      <x:c r="F47" t="str">
        <x:v>Geneva</x:v>
      </x:c>
      <x:c r="G47" t="str">
        <x:v>Switzerland</x:v>
      </x:c>
      <x:c r="H47" t="str">
        <x:v>easyJet</x:v>
      </x:c>
      <x:c r="I47" t="str">
        <x:v>U23291</x:v>
      </x:c>
      <x:c r="J47"/>
    </x:row>
    <x:row r="48">
      <x:c r="A48" t="str">
        <x:v>Edinburgh</x:v>
      </x:c>
      <x:c r="B48" t="str">
        <x:v>Mon</x:v>
      </x:c>
      <x:c r="C48" s="50" t="n">
        <x:v>46405</x:v>
      </x:c>
      <x:c r="D48" s="52" t="n">
        <x:v>0.270833333333333</x:v>
      </x:c>
      <x:c r="E48" s="52" t="n">
        <x:v>0.423611111111111</x:v>
      </x:c>
      <x:c r="F48" t="str">
        <x:v>Vienna</x:v>
      </x:c>
      <x:c r="G48" t="str">
        <x:v>Austria</x:v>
      </x:c>
      <x:c r="H48" t="str">
        <x:v>Ryanair</x:v>
      </x:c>
      <x:c r="I48" t="str">
        <x:v>FR1625</x:v>
      </x:c>
      <x:c r="J48"/>
    </x:row>
    <x:row r="49">
      <x:c r="A49" t="str">
        <x:v>Edinburgh</x:v>
      </x:c>
      <x:c r="B49" t="str">
        <x:v>Mon</x:v>
      </x:c>
      <x:c r="C49" s="50" t="n">
        <x:v>46405</x:v>
      </x:c>
      <x:c r="D49" s="52" t="n">
        <x:v>0.28125</x:v>
      </x:c>
      <x:c r="E49" s="52" t="n">
        <x:v>0.444444444444444</x:v>
      </x:c>
      <x:c r="F49" t="str">
        <x:v>Tromsø</x:v>
      </x:c>
      <x:c r="G49" t="str">
        <x:v>Norway</x:v>
      </x:c>
      <x:c r="H49" t="str">
        <x:v>easyJet</x:v>
      </x:c>
      <x:c r="I49" t="str">
        <x:v>U23215</x:v>
      </x:c>
      <x:c r="J49"/>
    </x:row>
    <x:row r="50">
      <x:c r="A50" t="str">
        <x:v>Edinburgh</x:v>
      </x:c>
      <x:c r="B50" t="str">
        <x:v>Mon</x:v>
      </x:c>
      <x:c r="C50" s="50" t="n">
        <x:v>46405</x:v>
      </x:c>
      <x:c r="D50" s="52" t="n">
        <x:v>0.302083333333333</x:v>
      </x:c>
      <x:c r="E50" s="52" t="n">
        <x:v>0.458333333333333</x:v>
      </x:c>
      <x:c r="F50" t="str">
        <x:v>Kraków</x:v>
      </x:c>
      <x:c r="G50" t="str">
        <x:v>Poland</x:v>
      </x:c>
      <x:c r="H50" t="str">
        <x:v>Ryanair</x:v>
      </x:c>
      <x:c r="I50" t="str">
        <x:v>FR6624</x:v>
      </x:c>
      <x:c r="J50"/>
    </x:row>
    <x:row r="51">
      <x:c r="A51" t="str">
        <x:v>Edinburgh</x:v>
      </x:c>
      <x:c r="B51" t="str">
        <x:v>Mon</x:v>
      </x:c>
      <x:c r="C51" s="50" t="n">
        <x:v>46405</x:v>
      </x:c>
      <x:c r="D51" s="52" t="n">
        <x:v>0.305555555555556</x:v>
      </x:c>
      <x:c r="E51" s="52" t="n">
        <x:v>0.482638888888889</x:v>
      </x:c>
      <x:c r="F51" t="str">
        <x:v>Seville</x:v>
      </x:c>
      <x:c r="G51" t="str">
        <x:v>Spain</x:v>
      </x:c>
      <x:c r="H51" t="str">
        <x:v>Ryanair</x:v>
      </x:c>
      <x:c r="I51" t="str">
        <x:v>FR6760</x:v>
      </x:c>
      <x:c r="J51"/>
    </x:row>
    <x:row r="52">
      <x:c r="A52" t="str">
        <x:v>Edinburgh</x:v>
      </x:c>
      <x:c r="B52" t="str">
        <x:v>Mon</x:v>
      </x:c>
      <x:c r="C52" s="50" t="n">
        <x:v>46405</x:v>
      </x:c>
      <x:c r="D52" s="52" t="n">
        <x:v>0.315972222222222</x:v>
      </x:c>
      <x:c r="E52" s="52" t="n">
        <x:v>0.430555555555556</x:v>
      </x:c>
      <x:c r="F52" t="str">
        <x:v>Brussels Charleroi</x:v>
      </x:c>
      <x:c r="G52" t="str">
        <x:v>Belgium</x:v>
      </x:c>
      <x:c r="H52" t="str">
        <x:v>Ryanair</x:v>
      </x:c>
      <x:c r="I52" t="str">
        <x:v>FR7322</x:v>
      </x:c>
      <x:c r="J52"/>
    </x:row>
    <x:row r="53">
      <x:c r="A53" t="str">
        <x:v>Edinburgh</x:v>
      </x:c>
      <x:c r="B53" t="str">
        <x:v>Mon</x:v>
      </x:c>
      <x:c r="C53" s="50" t="n">
        <x:v>46405</x:v>
      </x:c>
      <x:c r="D53" s="52" t="n">
        <x:v>0.319444444444444</x:v>
      </x:c>
      <x:c r="E53" s="52" t="n">
        <x:v>0.454861111111111</x:v>
      </x:c>
      <x:c r="F53" t="str">
        <x:v>Zurich</x:v>
      </x:c>
      <x:c r="G53" t="str">
        <x:v>Switzerland</x:v>
      </x:c>
      <x:c r="H53" t="str">
        <x:v>Edelweiss</x:v>
      </x:c>
      <x:c r="I53" t="str">
        <x:v>WK291</x:v>
      </x:c>
      <x:c r="J53"/>
    </x:row>
    <x:row r="54">
      <x:c r="A54" t="str">
        <x:v>Edinburgh</x:v>
      </x:c>
      <x:c r="B54" t="str">
        <x:v>Mon</x:v>
      </x:c>
      <x:c r="C54" s="50" t="n">
        <x:v>46405</x:v>
      </x:c>
      <x:c r="D54" s="52" t="n">
        <x:v>0.319444444444444</x:v>
      </x:c>
      <x:c r="E54" s="52" t="n">
        <x:v>0.46875</x:v>
      </x:c>
      <x:c r="F54" t="str">
        <x:v>Venice</x:v>
      </x:c>
      <x:c r="G54" t="str">
        <x:v>Italy</x:v>
      </x:c>
      <x:c r="H54" t="str">
        <x:v>Ryanair</x:v>
      </x:c>
      <x:c r="I54" t="str">
        <x:v>FR1652</x:v>
      </x:c>
      <x:c r="J54"/>
    </x:row>
    <x:row r="55">
      <x:c r="A55" t="str">
        <x:v>Edinburgh</x:v>
      </x:c>
      <x:c r="B55" t="str">
        <x:v>Mon</x:v>
      </x:c>
      <x:c r="C55" s="50" t="n">
        <x:v>46405</x:v>
      </x:c>
      <x:c r="D55" s="52" t="n">
        <x:v>0.329861111111111</x:v>
      </x:c>
      <x:c r="E55" s="52" t="n">
        <x:v>0.534722222222222</x:v>
      </x:c>
      <x:c r="F55" t="str">
        <x:v>Tenerife South</x:v>
      </x:c>
      <x:c r="G55" t="str">
        <x:v>Spain (Canaries)</x:v>
      </x:c>
      <x:c r="H55" t="str">
        <x:v>Jet2</x:v>
      </x:c>
      <x:c r="I55" t="str">
        <x:v>LS727</x:v>
      </x:c>
      <x:c r="J55" t="str">
        <x:v>Atlantic islands (Spanish/Portuguese territory)</x:v>
      </x:c>
    </x:row>
    <x:row r="56">
      <x:c r="A56" t="str">
        <x:v>Edinburgh</x:v>
      </x:c>
      <x:c r="B56" t="str">
        <x:v>Mon</x:v>
      </x:c>
      <x:c r="C56" s="50" t="n">
        <x:v>46405</x:v>
      </x:c>
      <x:c r="D56" s="52" t="n">
        <x:v>0.34375</x:v>
      </x:c>
      <x:c r="E56" s="52" t="n">
        <x:v>0.541666666666667</x:v>
      </x:c>
      <x:c r="F56" t="str">
        <x:v>Kaunas</x:v>
      </x:c>
      <x:c r="G56" t="str">
        <x:v>Lithuania</x:v>
      </x:c>
      <x:c r="H56" t="str">
        <x:v>Ryanair</x:v>
      </x:c>
      <x:c r="I56" t="str">
        <x:v>FR2886</x:v>
      </x:c>
      <x:c r="J56"/>
    </x:row>
    <x:row r="57">
      <x:c r="A57" t="str">
        <x:v>Edinburgh</x:v>
      </x:c>
      <x:c r="B57" t="str">
        <x:v>Mon</x:v>
      </x:c>
      <x:c r="C57" s="50" t="n">
        <x:v>46405</x:v>
      </x:c>
      <x:c r="D57" s="52" t="n">
        <x:v>0.364583333333333</x:v>
      </x:c>
      <x:c r="E57" s="52" t="n">
        <x:v>0.565972222222222</x:v>
      </x:c>
      <x:c r="F57" t="str">
        <x:v>Gran Canaria</x:v>
      </x:c>
      <x:c r="G57" t="str">
        <x:v>Spain (Canaries)</x:v>
      </x:c>
      <x:c r="H57" t="str">
        <x:v>Jet2</x:v>
      </x:c>
      <x:c r="I57" t="str">
        <x:v>LS747</x:v>
      </x:c>
      <x:c r="J57" t="str">
        <x:v>Atlantic islands (Spanish/Portuguese territory)</x:v>
      </x:c>
    </x:row>
    <x:row r="58">
      <x:c r="A58" t="str">
        <x:v>Edinburgh</x:v>
      </x:c>
      <x:c r="B58" t="str">
        <x:v>Mon</x:v>
      </x:c>
      <x:c r="C58" s="50" t="n">
        <x:v>46405</x:v>
      </x:c>
      <x:c r="D58" s="52" t="n">
        <x:v>0.368055555555556</x:v>
      </x:c>
      <x:c r="E58" s="52" t="n">
        <x:v>0.527777777777778</x:v>
      </x:c>
      <x:c r="F58" t="str">
        <x:v>Budapest</x:v>
      </x:c>
      <x:c r="G58" t="str">
        <x:v>Hungary</x:v>
      </x:c>
      <x:c r="H58" t="str">
        <x:v>Ryanair</x:v>
      </x:c>
      <x:c r="I58" t="str">
        <x:v>FR1017</x:v>
      </x:c>
      <x:c r="J58"/>
    </x:row>
    <x:row r="59">
      <x:c r="A59" t="str">
        <x:v>Edinburgh</x:v>
      </x:c>
      <x:c r="B59" t="str">
        <x:v>Mon</x:v>
      </x:c>
      <x:c r="C59" s="50" t="n">
        <x:v>46405</x:v>
      </x:c>
      <x:c r="D59" s="52" t="n">
        <x:v>0.385416666666667</x:v>
      </x:c>
      <x:c r="E59" s="52" t="n">
        <x:v>0.569444444444444</x:v>
      </x:c>
      <x:c r="F59" t="str">
        <x:v>Málaga</x:v>
      </x:c>
      <x:c r="G59" t="str">
        <x:v>Spain</x:v>
      </x:c>
      <x:c r="H59" t="str">
        <x:v>Jet2</x:v>
      </x:c>
      <x:c r="I59" t="str">
        <x:v>LS759</x:v>
      </x:c>
      <x:c r="J59"/>
    </x:row>
    <x:row r="60">
      <x:c r="A60" t="str">
        <x:v>Edinburgh</x:v>
      </x:c>
      <x:c r="B60" t="str">
        <x:v>Mon</x:v>
      </x:c>
      <x:c r="C60" s="50" t="n">
        <x:v>46405</x:v>
      </x:c>
      <x:c r="D60" s="52" t="n">
        <x:v>0.392361111111111</x:v>
      </x:c>
      <x:c r="E60" s="52" t="n">
        <x:v>0.569444444444444</x:v>
      </x:c>
      <x:c r="F60" t="str">
        <x:v>Funchal</x:v>
      </x:c>
      <x:c r="G60" t="str">
        <x:v>Portugal (Madeira)</x:v>
      </x:c>
      <x:c r="H60" t="str">
        <x:v>Jet2</x:v>
      </x:c>
      <x:c r="I60" t="str">
        <x:v>LS735</x:v>
      </x:c>
      <x:c r="J60" t="str">
        <x:v>Atlantic islands (Spanish/Portuguese territory)</x:v>
      </x:c>
    </x:row>
    <x:row r="61">
      <x:c r="A61" t="str">
        <x:v>Edinburgh</x:v>
      </x:c>
      <x:c r="B61" t="str">
        <x:v>Mon</x:v>
      </x:c>
      <x:c r="C61" s="50" t="n">
        <x:v>46405</x:v>
      </x:c>
      <x:c r="D61" s="52" t="n">
        <x:v>0.416666666666667</x:v>
      </x:c>
      <x:c r="E61" s="52" t="n">
        <x:v>0.579861111111111</x:v>
      </x:c>
      <x:c r="F61" t="str">
        <x:v>Madrid</x:v>
      </x:c>
      <x:c r="G61" t="str">
        <x:v>Spain</x:v>
      </x:c>
      <x:c r="H61" t="str">
        <x:v>Ryanair</x:v>
      </x:c>
      <x:c r="I61" t="str">
        <x:v>FR189</x:v>
      </x:c>
      <x:c r="J61"/>
    </x:row>
    <x:row r="62">
      <x:c r="A62" t="str">
        <x:v>Edinburgh</x:v>
      </x:c>
      <x:c r="B62" t="str">
        <x:v>Mon</x:v>
      </x:c>
      <x:c r="C62" s="50" t="n">
        <x:v>46405</x:v>
      </x:c>
      <x:c r="D62" s="52" t="n">
        <x:v>0.420138888888889</x:v>
      </x:c>
      <x:c r="E62" s="52" t="n">
        <x:v>0.555555555555556</x:v>
      </x:c>
      <x:c r="F62" t="str">
        <x:v>Faro</x:v>
      </x:c>
      <x:c r="G62" t="str">
        <x:v>Portugal</x:v>
      </x:c>
      <x:c r="H62" t="str">
        <x:v>Ryanair</x:v>
      </x:c>
      <x:c r="I62" t="str">
        <x:v>FR5667</x:v>
      </x:c>
      <x:c r="J62"/>
    </x:row>
    <x:row r="63">
      <x:c r="A63" t="str">
        <x:v>Edinburgh</x:v>
      </x:c>
      <x:c r="B63" t="str">
        <x:v>Mon</x:v>
      </x:c>
      <x:c r="C63" s="50" t="n">
        <x:v>46405</x:v>
      </x:c>
      <x:c r="D63" s="52" t="n">
        <x:v>0.423611111111111</x:v>
      </x:c>
      <x:c r="E63" s="52" t="n">
        <x:v>0.559027777777778</x:v>
      </x:c>
      <x:c r="F63" t="str">
        <x:v>Geneva</x:v>
      </x:c>
      <x:c r="G63" t="str">
        <x:v>Switzerland</x:v>
      </x:c>
      <x:c r="H63" t="str">
        <x:v>easyJet</x:v>
      </x:c>
      <x:c r="I63" t="str">
        <x:v>U23293</x:v>
      </x:c>
      <x:c r="J63"/>
    </x:row>
    <x:row r="64">
      <x:c r="A64" t="str">
        <x:v>Edinburgh</x:v>
      </x:c>
      <x:c r="B64" t="str">
        <x:v>Mon</x:v>
      </x:c>
      <x:c r="C64" s="50" t="n">
        <x:v>46405</x:v>
      </x:c>
      <x:c r="D64" s="52" t="n">
        <x:v>0.434027777777778</x:v>
      </x:c>
      <x:c r="E64" s="52" t="n">
        <x:v>0.625</x:v>
      </x:c>
      <x:c r="F64" t="str">
        <x:v>Helsinki</x:v>
      </x:c>
      <x:c r="G64" t="str">
        <x:v>Finland</x:v>
      </x:c>
      <x:c r="H64" t="str">
        <x:v>Finnair</x:v>
      </x:c>
      <x:c r="I64" t="str">
        <x:v>AY1372</x:v>
      </x:c>
      <x:c r="J64"/>
    </x:row>
    <x:row r="65">
      <x:c r="A65" t="str">
        <x:v>Edinburgh</x:v>
      </x:c>
      <x:c r="B65" t="str">
        <x:v>Mon</x:v>
      </x:c>
      <x:c r="C65" s="50" t="n">
        <x:v>46405</x:v>
      </x:c>
      <x:c r="D65" s="52" t="n">
        <x:v>0.444444444444444</x:v>
      </x:c>
      <x:c r="E65" s="52" t="n">
        <x:v>0.559027777777778</x:v>
      </x:c>
      <x:c r="F65" t="str">
        <x:v>Copenhagen</x:v>
      </x:c>
      <x:c r="G65" t="str">
        <x:v>Denmark</x:v>
      </x:c>
      <x:c r="H65" t="str">
        <x:v>Norwegian</x:v>
      </x:c>
      <x:c r="I65" t="str">
        <x:v>D83503</x:v>
      </x:c>
      <x:c r="J65"/>
    </x:row>
    <x:row r="66">
      <x:c r="A66" t="str">
        <x:v>Edinburgh</x:v>
      </x:c>
      <x:c r="B66" t="str">
        <x:v>Mon</x:v>
      </x:c>
      <x:c r="C66" s="50" t="n">
        <x:v>46405</x:v>
      </x:c>
      <x:c r="D66" s="52" t="n">
        <x:v>0.444444444444444</x:v>
      </x:c>
      <x:c r="E66" s="52" t="n">
        <x:v>0.756944444444444</x:v>
      </x:c>
      <x:c r="F66" t="str">
        <x:v>Istanbul</x:v>
      </x:c>
      <x:c r="G66" t="str">
        <x:v>Turkey</x:v>
      </x:c>
      <x:c r="H66" t="str">
        <x:v>Turkish Airlines</x:v>
      </x:c>
      <x:c r="I66" t="str">
        <x:v>TK1344</x:v>
      </x:c>
      <x:c r="J66" t="str">
        <x:v>Turkey (transcontinental)</x:v>
      </x:c>
    </x:row>
    <x:row r="67">
      <x:c r="A67" t="str">
        <x:v>Edinburgh</x:v>
      </x:c>
      <x:c r="B67" t="str">
        <x:v>Mon</x:v>
      </x:c>
      <x:c r="C67" s="50" t="n">
        <x:v>46405</x:v>
      </x:c>
      <x:c r="D67" s="52" t="n">
        <x:v>0.458333333333333</x:v>
      </x:c>
      <x:c r="E67" s="52" t="n">
        <x:v>0.5625</x:v>
      </x:c>
      <x:c r="F67" t="str">
        <x:v>Amsterdam</x:v>
      </x:c>
      <x:c r="G67" t="str">
        <x:v>Netherlands</x:v>
      </x:c>
      <x:c r="H67" t="str">
        <x:v>KLM</x:v>
      </x:c>
      <x:c r="I67" t="str">
        <x:v>KL926</x:v>
      </x:c>
      <x:c r="J67"/>
    </x:row>
    <x:row r="68">
      <x:c r="A68" t="str">
        <x:v>Edinburgh</x:v>
      </x:c>
      <x:c r="B68" t="str">
        <x:v>Mon</x:v>
      </x:c>
      <x:c r="C68" s="50" t="n">
        <x:v>46405</x:v>
      </x:c>
      <x:c r="D68" s="52" t="n">
        <x:v>0.465277777777778</x:v>
      </x:c>
      <x:c r="E68" s="52" t="n">
        <x:v>0.583333333333333</x:v>
      </x:c>
      <x:c r="F68" t="str">
        <x:v>Copenhagen</x:v>
      </x:c>
      <x:c r="G68" t="str">
        <x:v>Denmark</x:v>
      </x:c>
      <x:c r="H68" t="str">
        <x:v>easyJet</x:v>
      </x:c>
      <x:c r="I68" t="str">
        <x:v>U23323</x:v>
      </x:c>
      <x:c r="J68"/>
    </x:row>
    <x:row r="69">
      <x:c r="A69" t="str">
        <x:v>Edinburgh</x:v>
      </x:c>
      <x:c r="B69" t="str">
        <x:v>Mon</x:v>
      </x:c>
      <x:c r="C69" s="50" t="n">
        <x:v>46405</x:v>
      </x:c>
      <x:c r="D69" s="52" t="n">
        <x:v>0.475694444444444</x:v>
      </x:c>
      <x:c r="E69" s="52" t="n">
        <x:v>0.645833333333333</x:v>
      </x:c>
      <x:c r="F69" t="str">
        <x:v>Madrid</x:v>
      </x:c>
      <x:c r="G69" t="str">
        <x:v>Spain</x:v>
      </x:c>
      <x:c r="H69" t="str">
        <x:v>easyJet</x:v>
      </x:c>
      <x:c r="I69" t="str">
        <x:v>U23209</x:v>
      </x:c>
      <x:c r="J69"/>
    </x:row>
    <x:row r="70">
      <x:c r="A70" t="str">
        <x:v>Edinburgh</x:v>
      </x:c>
      <x:c r="B70" t="str">
        <x:v>Mon</x:v>
      </x:c>
      <x:c r="C70" s="50" t="n">
        <x:v>46405</x:v>
      </x:c>
      <x:c r="D70" s="52" t="n">
        <x:v>0.479166666666667</x:v>
      </x:c>
      <x:c r="E70" s="52" t="n">
        <x:v>0.600694444444444</x:v>
      </x:c>
      <x:c r="F70" t="str">
        <x:v>Paris CDG</x:v>
      </x:c>
      <x:c r="G70" t="str">
        <x:v>France</x:v>
      </x:c>
      <x:c r="H70" t="str">
        <x:v>Air France</x:v>
      </x:c>
      <x:c r="I70" t="str">
        <x:v>AF1687</x:v>
      </x:c>
      <x:c r="J70"/>
    </x:row>
    <x:row r="71">
      <x:c r="A71" t="str">
        <x:v>Glasgow</x:v>
      </x:c>
      <x:c r="B71" t="str">
        <x:v>Sun</x:v>
      </x:c>
      <x:c r="C71" s="50" t="n">
        <x:v>46404</x:v>
      </x:c>
      <x:c r="D71" s="52" t="n">
        <x:v>0.236111111111111</x:v>
      </x:c>
      <x:c r="E71" s="52" t="n">
        <x:v>0.347222222222222</x:v>
      </x:c>
      <x:c r="F71" t="str">
        <x:v>Amsterdam</x:v>
      </x:c>
      <x:c r="G71" t="str">
        <x:v>Netherlands</x:v>
      </x:c>
      <x:c r="H71" t="str">
        <x:v>KLM</x:v>
      </x:c>
      <x:c r="I71" t="str">
        <x:v>KL934</x:v>
      </x:c>
      <x:c r="J71"/>
    </x:row>
    <x:row r="72">
      <x:c r="A72" t="str">
        <x:v>Glasgow</x:v>
      </x:c>
      <x:c r="B72" t="str">
        <x:v>Sun</x:v>
      </x:c>
      <x:c r="C72" s="50" t="n">
        <x:v>46404</x:v>
      </x:c>
      <x:c r="D72" s="52" t="n">
        <x:v>0.260416666666667</x:v>
      </x:c>
      <x:c r="E72" s="52" t="n">
        <x:v>0.4375</x:v>
      </x:c>
      <x:c r="F72" t="str">
        <x:v>Alicante</x:v>
      </x:c>
      <x:c r="G72" t="str">
        <x:v>Spain</x:v>
      </x:c>
      <x:c r="H72" t="str">
        <x:v>Jet2</x:v>
      </x:c>
      <x:c r="I72" t="str">
        <x:v>LS177</x:v>
      </x:c>
      <x:c r="J72"/>
    </x:row>
    <x:row r="73">
      <x:c r="A73" t="str">
        <x:v>Glasgow</x:v>
      </x:c>
      <x:c r="B73" t="str">
        <x:v>Sun</x:v>
      </x:c>
      <x:c r="C73" s="50" t="n">
        <x:v>46404</x:v>
      </x:c>
      <x:c r="D73" s="52" t="n">
        <x:v>0.274305555555556</x:v>
      </x:c>
      <x:c r="E73" s="52" t="n">
        <x:v>0.458333333333333</x:v>
      </x:c>
      <x:c r="F73" t="str">
        <x:v>Málaga</x:v>
      </x:c>
      <x:c r="G73" t="str">
        <x:v>Spain</x:v>
      </x:c>
      <x:c r="H73" t="str">
        <x:v>easyJet</x:v>
      </x:c>
      <x:c r="I73" t="str">
        <x:v>U23103</x:v>
      </x:c>
      <x:c r="J73"/>
    </x:row>
    <x:row r="74">
      <x:c r="A74" t="str">
        <x:v>Glasgow</x:v>
      </x:c>
      <x:c r="B74" t="str">
        <x:v>Sun</x:v>
      </x:c>
      <x:c r="C74" s="50" t="n">
        <x:v>46404</x:v>
      </x:c>
      <x:c r="D74" s="52" t="n">
        <x:v>0.291666666666667</x:v>
      </x:c>
      <x:c r="E74" s="52" t="n">
        <x:v>0.413194444444444</x:v>
      </x:c>
      <x:c r="F74" t="str">
        <x:v>Paris CDG</x:v>
      </x:c>
      <x:c r="G74" t="str">
        <x:v>France</x:v>
      </x:c>
      <x:c r="H74" t="str">
        <x:v>easyJet</x:v>
      </x:c>
      <x:c r="I74" t="str">
        <x:v>U23123</x:v>
      </x:c>
      <x:c r="J74"/>
    </x:row>
    <x:row r="75">
      <x:c r="A75" t="str">
        <x:v>Glasgow</x:v>
      </x:c>
      <x:c r="B75" t="str">
        <x:v>Sun</x:v>
      </x:c>
      <x:c r="C75" s="50" t="n">
        <x:v>46404</x:v>
      </x:c>
      <x:c r="D75" s="52" t="n">
        <x:v>0.298611111111111</x:v>
      </x:c>
      <x:c r="E75" s="52" t="n">
        <x:v>0.46875</x:v>
      </x:c>
      <x:c r="F75" t="str">
        <x:v>Alicante</x:v>
      </x:c>
      <x:c r="G75" t="str">
        <x:v>Spain</x:v>
      </x:c>
      <x:c r="H75" t="str">
        <x:v>easyJet</x:v>
      </x:c>
      <x:c r="I75" t="str">
        <x:v>U23133</x:v>
      </x:c>
      <x:c r="J75"/>
    </x:row>
    <x:row r="76">
      <x:c r="A76" t="str">
        <x:v>Glasgow</x:v>
      </x:c>
      <x:c r="B76" t="str">
        <x:v>Sun</x:v>
      </x:c>
      <x:c r="C76" s="50" t="n">
        <x:v>46404</x:v>
      </x:c>
      <x:c r="D76" s="52" t="n">
        <x:v>0.3125</x:v>
      </x:c>
      <x:c r="E76" s="52" t="n">
        <x:v>0.5</x:v>
      </x:c>
      <x:c r="F76" t="str">
        <x:v>Lanzarote</x:v>
      </x:c>
      <x:c r="G76" t="str">
        <x:v>Spain (Canaries)</x:v>
      </x:c>
      <x:c r="H76" t="str">
        <x:v>easyJet</x:v>
      </x:c>
      <x:c r="I76" t="str">
        <x:v>U23121</x:v>
      </x:c>
      <x:c r="J76" t="str">
        <x:v>Atlantic islands (Spanish/Portuguese territory)</x:v>
      </x:c>
    </x:row>
    <x:row r="77">
      <x:c r="A77" t="str">
        <x:v>Glasgow</x:v>
      </x:c>
      <x:c r="B77" t="str">
        <x:v>Sun</x:v>
      </x:c>
      <x:c r="C77" s="50" t="n">
        <x:v>46404</x:v>
      </x:c>
      <x:c r="D77" s="52" t="n">
        <x:v>0.329861111111111</x:v>
      </x:c>
      <x:c r="E77" s="52" t="n">
        <x:v>0.465277777777778</x:v>
      </x:c>
      <x:c r="F77" t="str">
        <x:v>Geneva</x:v>
      </x:c>
      <x:c r="G77" t="str">
        <x:v>Switzerland</x:v>
      </x:c>
      <x:c r="H77" t="str">
        <x:v>easyJet</x:v>
      </x:c>
      <x:c r="I77" t="str">
        <x:v>U23259</x:v>
      </x:c>
      <x:c r="J77"/>
    </x:row>
    <x:row r="78">
      <x:c r="A78" t="str">
        <x:v>Glasgow</x:v>
      </x:c>
      <x:c r="B78" t="str">
        <x:v>Sun</x:v>
      </x:c>
      <x:c r="C78" s="50" t="n">
        <x:v>46404</x:v>
      </x:c>
      <x:c r="D78" s="52" t="n">
        <x:v>0.364583333333333</x:v>
      </x:c>
      <x:c r="E78" s="52" t="n">
        <x:v>0.5625</x:v>
      </x:c>
      <x:c r="F78" t="str">
        <x:v>Tenerife South</x:v>
      </x:c>
      <x:c r="G78" t="str">
        <x:v>Spain (Canaries)</x:v>
      </x:c>
      <x:c r="H78" t="str">
        <x:v>Jet2</x:v>
      </x:c>
      <x:c r="I78" t="str">
        <x:v>LS175</x:v>
      </x:c>
      <x:c r="J78" t="str">
        <x:v>Atlantic islands (Spanish/Portuguese territory)</x:v>
      </x:c>
    </x:row>
    <x:row r="79">
      <x:c r="A79" t="str">
        <x:v>Glasgow</x:v>
      </x:c>
      <x:c r="B79" t="str">
        <x:v>Sun</x:v>
      </x:c>
      <x:c r="C79" s="50" t="n">
        <x:v>46404</x:v>
      </x:c>
      <x:c r="D79" s="52" t="n">
        <x:v>0.368055555555556</x:v>
      </x:c>
      <x:c r="E79" s="52" t="n">
        <x:v>0.545138888888889</x:v>
      </x:c>
      <x:c r="F79" t="str">
        <x:v>Málaga</x:v>
      </x:c>
      <x:c r="G79" t="str">
        <x:v>Spain</x:v>
      </x:c>
      <x:c r="H79" t="str">
        <x:v>Ryanair</x:v>
      </x:c>
      <x:c r="I79" t="str">
        <x:v>FR2609</x:v>
      </x:c>
      <x:c r="J79"/>
    </x:row>
    <x:row r="80">
      <x:c r="A80" t="str">
        <x:v>Glasgow</x:v>
      </x:c>
      <x:c r="B80" t="str">
        <x:v>Sun</x:v>
      </x:c>
      <x:c r="C80" s="50" t="n">
        <x:v>46404</x:v>
      </x:c>
      <x:c r="D80" s="52" t="n">
        <x:v>0.388888888888889</x:v>
      </x:c>
      <x:c r="E80" s="52" t="n">
        <x:v>0.579861111111111</x:v>
      </x:c>
      <x:c r="F80" t="str">
        <x:v>Fuerteventura</x:v>
      </x:c>
      <x:c r="G80" t="str">
        <x:v>Spain (Canaries)</x:v>
      </x:c>
      <x:c r="H80" t="str">
        <x:v>Jet2</x:v>
      </x:c>
      <x:c r="I80" t="str">
        <x:v>LS171</x:v>
      </x:c>
      <x:c r="J80" t="str">
        <x:v>Atlantic islands (Spanish/Portuguese territory)</x:v>
      </x:c>
    </x:row>
    <x:row r="81">
      <x:c r="A81" t="str">
        <x:v>Glasgow</x:v>
      </x:c>
      <x:c r="B81" t="str">
        <x:v>Sun</x:v>
      </x:c>
      <x:c r="C81" s="50" t="n">
        <x:v>46404</x:v>
      </x:c>
      <x:c r="D81" s="52" t="n">
        <x:v>0.395833333333333</x:v>
      </x:c>
      <x:c r="E81" s="52" t="n">
        <x:v>0.590277777777778</x:v>
      </x:c>
      <x:c r="F81" t="str">
        <x:v>Lanzarote</x:v>
      </x:c>
      <x:c r="G81" t="str">
        <x:v>Spain (Canaries)</x:v>
      </x:c>
      <x:c r="H81" t="str">
        <x:v>Jet2</x:v>
      </x:c>
      <x:c r="I81" t="str">
        <x:v>LS169</x:v>
      </x:c>
      <x:c r="J81" t="str">
        <x:v>Atlantic islands (Spanish/Portuguese territory)</x:v>
      </x:c>
    </x:row>
    <x:row r="82">
      <x:c r="A82" t="str">
        <x:v>Glasgow</x:v>
      </x:c>
      <x:c r="B82" t="str">
        <x:v>Sun</x:v>
      </x:c>
      <x:c r="C82" s="50" t="n">
        <x:v>46404</x:v>
      </x:c>
      <x:c r="D82" s="52" t="n">
        <x:v>0.427083333333333</x:v>
      </x:c>
      <x:c r="E82" s="52" t="n">
        <x:v>0.625</x:v>
      </x:c>
      <x:c r="F82" t="str">
        <x:v>Gran Canaria</x:v>
      </x:c>
      <x:c r="G82" t="str">
        <x:v>Spain (Canaries)</x:v>
      </x:c>
      <x:c r="H82" t="str">
        <x:v>Jet2</x:v>
      </x:c>
      <x:c r="I82" t="str">
        <x:v>LS185</x:v>
      </x:c>
      <x:c r="J82" t="str">
        <x:v>Atlantic islands (Spanish/Portuguese territory)</x:v>
      </x:c>
    </x:row>
    <x:row r="83">
      <x:c r="A83" t="str">
        <x:v>Glasgow</x:v>
      </x:c>
      <x:c r="B83" t="str">
        <x:v>Sun</x:v>
      </x:c>
      <x:c r="C83" s="50" t="n">
        <x:v>46404</x:v>
      </x:c>
      <x:c r="D83" s="52" t="n">
        <x:v>0.444444444444444</x:v>
      </x:c>
      <x:c r="E83" s="52" t="n">
        <x:v>0.552083333333333</x:v>
      </x:c>
      <x:c r="F83" t="str">
        <x:v>Amsterdam</x:v>
      </x:c>
      <x:c r="G83" t="str">
        <x:v>Netherlands</x:v>
      </x:c>
      <x:c r="H83" t="str">
        <x:v>KLM</x:v>
      </x:c>
      <x:c r="I83" t="str">
        <x:v>KL938</x:v>
      </x:c>
      <x:c r="J83"/>
    </x:row>
    <x:row r="84">
      <x:c r="A84" t="str">
        <x:v>Glasgow</x:v>
      </x:c>
      <x:c r="B84" t="str">
        <x:v>Mon</x:v>
      </x:c>
      <x:c r="C84" s="50" t="n">
        <x:v>46405</x:v>
      </x:c>
      <x:c r="D84" s="52" t="n">
        <x:v>0.236111111111111</x:v>
      </x:c>
      <x:c r="E84" s="52" t="n">
        <x:v>0.347222222222222</x:v>
      </x:c>
      <x:c r="F84" t="str">
        <x:v>Amsterdam</x:v>
      </x:c>
      <x:c r="G84" t="str">
        <x:v>Netherlands</x:v>
      </x:c>
      <x:c r="H84" t="str">
        <x:v>KLM</x:v>
      </x:c>
      <x:c r="I84" t="str">
        <x:v>KL934</x:v>
      </x:c>
      <x:c r="J84"/>
    </x:row>
    <x:row r="85">
      <x:c r="A85" t="str">
        <x:v>Glasgow</x:v>
      </x:c>
      <x:c r="B85" t="str">
        <x:v>Mon</x:v>
      </x:c>
      <x:c r="C85" s="50" t="n">
        <x:v>46405</x:v>
      </x:c>
      <x:c r="D85" s="52" t="n">
        <x:v>0.25</x:v>
      </x:c>
      <x:c r="E85" s="52" t="n">
        <x:v>0.434027777777778</x:v>
      </x:c>
      <x:c r="F85" t="str">
        <x:v>Málaga</x:v>
      </x:c>
      <x:c r="G85" t="str">
        <x:v>Spain</x:v>
      </x:c>
      <x:c r="H85" t="str">
        <x:v>Jet2</x:v>
      </x:c>
      <x:c r="I85" t="str">
        <x:v>LS133</x:v>
      </x:c>
      <x:c r="J85"/>
    </x:row>
    <x:row r="86">
      <x:c r="A86" t="str">
        <x:v>Glasgow</x:v>
      </x:c>
      <x:c r="B86" t="str">
        <x:v>Mon</x:v>
      </x:c>
      <x:c r="C86" s="50" t="n">
        <x:v>46405</x:v>
      </x:c>
      <x:c r="D86" s="52" t="n">
        <x:v>0.357638888888889</x:v>
      </x:c>
      <x:c r="E86" s="52" t="n">
        <x:v>0.513888888888889</x:v>
      </x:c>
      <x:c r="F86" t="str">
        <x:v>Kraków</x:v>
      </x:c>
      <x:c r="G86" t="str">
        <x:v>Poland</x:v>
      </x:c>
      <x:c r="H86" t="str">
        <x:v>Ryanair</x:v>
      </x:c>
      <x:c r="I86" t="str">
        <x:v>FR4204</x:v>
      </x:c>
      <x:c r="J86"/>
    </x:row>
    <x:row r="87">
      <x:c r="A87" t="str">
        <x:v>Glasgow</x:v>
      </x:c>
      <x:c r="B87" t="str">
        <x:v>Mon</x:v>
      </x:c>
      <x:c r="C87" s="50" t="n">
        <x:v>46405</x:v>
      </x:c>
      <x:c r="D87" s="52" t="n">
        <x:v>0.364583333333333</x:v>
      </x:c>
      <x:c r="E87" s="52" t="n">
        <x:v>0.5625</x:v>
      </x:c>
      <x:c r="F87" t="str">
        <x:v>Tenerife South</x:v>
      </x:c>
      <x:c r="G87" t="str">
        <x:v>Spain (Canaries)</x:v>
      </x:c>
      <x:c r="H87" t="str">
        <x:v>Jet2</x:v>
      </x:c>
      <x:c r="I87" t="str">
        <x:v>LS155</x:v>
      </x:c>
      <x:c r="J87" t="str">
        <x:v>Atlantic islands (Spanish/Portuguese territory)</x:v>
      </x:c>
    </x:row>
    <x:row r="88">
      <x:c r="A88" t="str">
        <x:v>Glasgow</x:v>
      </x:c>
      <x:c r="B88" t="str">
        <x:v>Mon</x:v>
      </x:c>
      <x:c r="C88" s="50" t="n">
        <x:v>46405</x:v>
      </x:c>
      <x:c r="D88" s="52" t="n">
        <x:v>0.395833333333333</x:v>
      </x:c>
      <x:c r="E88" s="52" t="n">
        <x:v>0.565972222222222</x:v>
      </x:c>
      <x:c r="F88" t="str">
        <x:v>Funchal</x:v>
      </x:c>
      <x:c r="G88" t="str">
        <x:v>Portugal (Madeira)</x:v>
      </x:c>
      <x:c r="H88" t="str">
        <x:v>Jet2</x:v>
      </x:c>
      <x:c r="I88" t="str">
        <x:v>LS129</x:v>
      </x:c>
      <x:c r="J88" t="str">
        <x:v>Atlantic islands (Spanish/Portuguese territory)</x:v>
      </x:c>
    </x:row>
    <x:row r="89">
      <x:c r="A89" t="str">
        <x:v>Glasgow</x:v>
      </x:c>
      <x:c r="B89" t="str">
        <x:v>Mon</x:v>
      </x:c>
      <x:c r="C89" s="50" t="n">
        <x:v>46405</x:v>
      </x:c>
      <x:c r="D89" s="52" t="n">
        <x:v>0.4375</x:v>
      </x:c>
      <x:c r="E89" s="52" t="n">
        <x:v>0.631944444444444</x:v>
      </x:c>
      <x:c r="F89" t="str">
        <x:v>Lanzarote</x:v>
      </x:c>
      <x:c r="G89" t="str">
        <x:v>Spain (Canaries)</x:v>
      </x:c>
      <x:c r="H89" t="str">
        <x:v>Jet2</x:v>
      </x:c>
      <x:c r="I89" t="str">
        <x:v>LS167</x:v>
      </x:c>
      <x:c r="J89" t="str">
        <x:v>Atlantic islands (Spanish/Portuguese territory)</x:v>
      </x:c>
    </x:row>
    <x:row r="90">
      <x:c r="A90" t="str">
        <x:v>Glasgow</x:v>
      </x:c>
      <x:c r="B90" t="str">
        <x:v>Mon</x:v>
      </x:c>
      <x:c r="C90" s="50" t="n">
        <x:v>46405</x:v>
      </x:c>
      <x:c r="D90" s="52" t="n">
        <x:v>0.444444444444444</x:v>
      </x:c>
      <x:c r="E90" s="52" t="n">
        <x:v>0.552083333333333</x:v>
      </x:c>
      <x:c r="F90" t="str">
        <x:v>Amsterdam</x:v>
      </x:c>
      <x:c r="G90" t="str">
        <x:v>Netherlands</x:v>
      </x:c>
      <x:c r="H90" t="str">
        <x:v>KLM</x:v>
      </x:c>
      <x:c r="I90" t="str">
        <x:v>KL938</x:v>
      </x:c>
      <x:c r="J90"/>
    </x:row>
    <x:row r="91">
      <x:c r="A91" t="str">
        <x:v>Glasgow</x:v>
      </x:c>
      <x:c r="B91" t="str">
        <x:v>Mon</x:v>
      </x:c>
      <x:c r="C91" s="50" t="n">
        <x:v>46405</x:v>
      </x:c>
      <x:c r="D91" s="52" t="n">
        <x:v>0.451388888888889</x:v>
      </x:c>
      <x:c r="E91" s="52" t="n">
        <x:v>0.621527777777778</x:v>
      </x:c>
      <x:c r="F91" t="str">
        <x:v>Alicante</x:v>
      </x:c>
      <x:c r="G91" t="str">
        <x:v>Spain</x:v>
      </x:c>
      <x:c r="H91" t="str">
        <x:v>Ryanair</x:v>
      </x:c>
      <x:c r="I91" t="str">
        <x:v>FR2522</x:v>
      </x:c>
      <x:c r="J91"/>
    </x:row>
    <x:row r="92">
      <x:c r="A92" t="str">
        <x:v>Glasgow</x:v>
      </x:c>
      <x:c r="B92" t="str">
        <x:v>Mon</x:v>
      </x:c>
      <x:c r="C92" s="50" t="n">
        <x:v>46405</x:v>
      </x:c>
      <x:c r="D92" s="52" t="n">
        <x:v>0.451388888888889</x:v>
      </x:c>
      <x:c r="E92" s="52" t="n">
        <x:v>0.559027777777778</x:v>
      </x:c>
      <x:c r="F92" t="str">
        <x:v>Amsterdam</x:v>
      </x:c>
      <x:c r="G92" t="str">
        <x:v>Netherlands</x:v>
      </x:c>
      <x:c r="H92" t="str">
        <x:v>easyJet</x:v>
      </x:c>
      <x:c r="I92" t="str">
        <x:v>U23173</x:v>
      </x:c>
      <x:c r="J92"/>
    </x:row>
    <x:row r="93">
      <x:c r="A93" t="str">
        <x:v>Glasgow</x:v>
      </x:c>
      <x:c r="B93" t="str">
        <x:v>Mon</x:v>
      </x:c>
      <x:c r="C93" s="50" t="n">
        <x:v>46405</x:v>
      </x:c>
      <x:c r="D93" s="52" t="n">
        <x:v>0.475694444444444</x:v>
      </x:c>
      <x:c r="E93" s="52" t="n">
        <x:v>0.677083333333333</x:v>
      </x:c>
      <x:c r="F93" t="str">
        <x:v>Gran Canaria</x:v>
      </x:c>
      <x:c r="G93" t="str">
        <x:v>Spain (Canaries)</x:v>
      </x:c>
      <x:c r="H93" t="str">
        <x:v>easyJet</x:v>
      </x:c>
      <x:c r="I93" t="str">
        <x:v>U23129</x:v>
      </x:c>
      <x:c r="J93" t="str">
        <x:v>Atlantic islands (Spanish/Portuguese territory)</x:v>
      </x:c>
    </x:row>
    <x:row r="94">
      <x:c r="A94" t="str">
        <x:v>Glasgow</x:v>
      </x:c>
      <x:c r="B94" t="str">
        <x:v>Mon</x:v>
      </x:c>
      <x:c r="C94" s="50" t="n">
        <x:v>46405</x:v>
      </x:c>
      <x:c r="D94" s="52" t="n">
        <x:v>0.482638888888889</x:v>
      </x:c>
      <x:c r="E94" s="52" t="n">
        <x:v>0.583333333333333</x:v>
      </x:c>
      <x:c r="F94" t="str">
        <x:v>Reykjavik</x:v>
      </x:c>
      <x:c r="G94" t="str">
        <x:v>Iceland</x:v>
      </x:c>
      <x:c r="H94" t="str">
        <x:v>Icelandair</x:v>
      </x:c>
      <x:c r="I94" t="str">
        <x:v>FI431</x:v>
      </x:c>
      <x:c r="J94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24" hidden="0" customWidth="1"/>
    <x:col min="4" max="4" width="20" hidden="0" customWidth="1"/>
    <x:col min="5" max="5" width="20" hidden="0" customWidth="1"/>
    <x:col min="6" max="6" width="29" hidden="0" customWidth="1"/>
    <x:col min="7" max="7" width="25" hidden="0" customWidth="1"/>
    <x:col min="8" max="8" width="20" hidden="0" customWidth="1"/>
    <x:col min="9" max="9" width="17" hidden="0" customWidth="1"/>
    <x:col min="10" max="10" width="66" hidden="0" customWidth="1"/>
  </x:cols>
  <x:sheetData>
    <x:row r="1" ht="33" customHeight="1">
      <x:c r="A1" s="4" t="str">
        <x:v>YOUR FLIGHT FILE • RETURNS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As supplied: 21–22 January flights arriving Edinburgh/Glasgow between 15:00 and 21:00 only. Earlier/later returns may exist.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5" ht="37" customHeight="1">
      <x:c r="A5" s="17" t="str">
        <x:v>Airport</x:v>
      </x:c>
      <x:c r="B5" s="17" t="str">
        <x:v>Day</x:v>
      </x:c>
      <x:c r="C5" s="17" t="str">
        <x:v>Date</x:v>
      </x:c>
      <x:c r="D5" s="17" t="str">
        <x:v>Departs (local)</x:v>
      </x:c>
      <x:c r="E5" s="17" t="str">
        <x:v>Arrives (local)</x:v>
      </x:c>
      <x:c r="F5" s="17" t="str">
        <x:v>Origin</x:v>
      </x:c>
      <x:c r="G5" s="17" t="str">
        <x:v>Country</x:v>
      </x:c>
      <x:c r="H5" s="17" t="str">
        <x:v>Airline</x:v>
      </x:c>
      <x:c r="I5" s="17" t="str">
        <x:v>Flight</x:v>
      </x:c>
      <x:c r="J5" s="17" t="str">
        <x:v>Notes</x:v>
      </x:c>
    </x:row>
    <x:row r="6">
      <x:c r="A6" t="str">
        <x:v>Edinburgh</x:v>
      </x:c>
      <x:c r="B6" t="str">
        <x:v>Thu</x:v>
      </x:c>
      <x:c r="C6" s="50" t="n">
        <x:v>46408</x:v>
      </x:c>
      <x:c r="D6" s="52" t="n">
        <x:v>0.565972222222222</x:v>
      </x:c>
      <x:c r="E6" s="52" t="n">
        <x:v>0.625</x:v>
      </x:c>
      <x:c r="F6" t="str">
        <x:v>Munich</x:v>
      </x:c>
      <x:c r="G6" t="str">
        <x:v>Germany</x:v>
      </x:c>
      <x:c r="H6" t="str">
        <x:v>easyJet</x:v>
      </x:c>
      <x:c r="I6" t="str">
        <x:v>U23264</x:v>
      </x:c>
      <x:c r="J6"/>
    </x:row>
    <x:row r="7">
      <x:c r="A7" t="str">
        <x:v>Edinburgh</x:v>
      </x:c>
      <x:c r="B7" t="str">
        <x:v>Thu</x:v>
      </x:c>
      <x:c r="C7" s="50" t="n">
        <x:v>46408</x:v>
      </x:c>
      <x:c r="D7" s="52" t="n">
        <x:v>0.576388888888889</x:v>
      </x:c>
      <x:c r="E7" s="52" t="n">
        <x:v>0.638888888888889</x:v>
      </x:c>
      <x:c r="F7" t="str">
        <x:v>Istanbul</x:v>
      </x:c>
      <x:c r="G7" t="str">
        <x:v>Turkey</x:v>
      </x:c>
      <x:c r="H7" t="str">
        <x:v>Turkish Airlines</x:v>
      </x:c>
      <x:c r="I7" t="str">
        <x:v>TK1345</x:v>
      </x:c>
      <x:c r="J7" t="str">
        <x:v>Turkey (transcontinental)</x:v>
      </x:c>
    </x:row>
    <x:row r="8">
      <x:c r="A8" t="str">
        <x:v>Edinburgh</x:v>
      </x:c>
      <x:c r="B8" t="str">
        <x:v>Thu</x:v>
      </x:c>
      <x:c r="C8" s="50" t="n">
        <x:v>46408</x:v>
      </x:c>
      <x:c r="D8" s="52" t="n">
        <x:v>0.607638888888889</x:v>
      </x:c>
      <x:c r="E8" s="52" t="n">
        <x:v>0.663194444444444</x:v>
      </x:c>
      <x:c r="F8" t="str">
        <x:v>Santander</x:v>
      </x:c>
      <x:c r="G8" t="str">
        <x:v>Spain</x:v>
      </x:c>
      <x:c r="H8" t="str">
        <x:v>Ryanair UK</x:v>
      </x:c>
      <x:c r="I8" t="str">
        <x:v>RK5632</x:v>
      </x:c>
      <x:c r="J8"/>
    </x:row>
    <x:row r="9">
      <x:c r="A9" t="str">
        <x:v>Edinburgh</x:v>
      </x:c>
      <x:c r="B9" t="str">
        <x:v>Thu</x:v>
      </x:c>
      <x:c r="C9" s="50" t="n">
        <x:v>46408</x:v>
      </x:c>
      <x:c r="D9" s="52" t="n">
        <x:v>0.472222222222222</x:v>
      </x:c>
      <x:c r="E9" s="52" t="n">
        <x:v>0.663194444444444</x:v>
      </x:c>
      <x:c r="F9" t="str">
        <x:v>Lanzarote</x:v>
      </x:c>
      <x:c r="G9" t="str">
        <x:v>Spain (Canaries)</x:v>
      </x:c>
      <x:c r="H9" t="str">
        <x:v>Ryanair</x:v>
      </x:c>
      <x:c r="I9" t="str">
        <x:v>FR5594</x:v>
      </x:c>
      <x:c r="J9" t="str">
        <x:v>Atlantic islands (Spanish/Portuguese territory)</x:v>
      </x:c>
    </x:row>
    <x:row r="10">
      <x:c r="A10" t="str">
        <x:v>Edinburgh</x:v>
      </x:c>
      <x:c r="B10" t="str">
        <x:v>Thu</x:v>
      </x:c>
      <x:c r="C10" s="50" t="n">
        <x:v>46408</x:v>
      </x:c>
      <x:c r="D10" s="52" t="n">
        <x:v>0.652777777777778</x:v>
      </x:c>
      <x:c r="E10" s="52" t="n">
        <x:v>0.670138888888889</x:v>
      </x:c>
      <x:c r="F10" t="str">
        <x:v>Amsterdam</x:v>
      </x:c>
      <x:c r="G10" t="str">
        <x:v>Netherlands</x:v>
      </x:c>
      <x:c r="H10" t="str">
        <x:v>KLM</x:v>
      </x:c>
      <x:c r="I10" t="str">
        <x:v>KL931</x:v>
      </x:c>
      <x:c r="J10"/>
    </x:row>
    <x:row r="11">
      <x:c r="A11" t="str">
        <x:v>Edinburgh</x:v>
      </x:c>
      <x:c r="B11" t="str">
        <x:v>Thu</x:v>
      </x:c>
      <x:c r="C11" s="50" t="n">
        <x:v>46408</x:v>
      </x:c>
      <x:c r="D11" s="52" t="n">
        <x:v>0.642361111111111</x:v>
      </x:c>
      <x:c r="E11" s="52" t="n">
        <x:v>0.670138888888889</x:v>
      </x:c>
      <x:c r="F11" t="str">
        <x:v>Brussels Charleroi</x:v>
      </x:c>
      <x:c r="G11" t="str">
        <x:v>Belgium</x:v>
      </x:c>
      <x:c r="H11" t="str">
        <x:v>Ryanair</x:v>
      </x:c>
      <x:c r="I11" t="str">
        <x:v>FR7323</x:v>
      </x:c>
      <x:c r="J11"/>
    </x:row>
    <x:row r="12">
      <x:c r="A12" t="str">
        <x:v>Edinburgh</x:v>
      </x:c>
      <x:c r="B12" t="str">
        <x:v>Thu</x:v>
      </x:c>
      <x:c r="C12" s="50" t="n">
        <x:v>46408</x:v>
      </x:c>
      <x:c r="D12" s="52" t="n">
        <x:v>0.479166666666667</x:v>
      </x:c>
      <x:c r="E12" s="52" t="n">
        <x:v>0.677083333333333</x:v>
      </x:c>
      <x:c r="F12" t="str">
        <x:v>Tenerife South</x:v>
      </x:c>
      <x:c r="G12" t="str">
        <x:v>Spain (Canaries)</x:v>
      </x:c>
      <x:c r="H12" t="str">
        <x:v>Ryanair</x:v>
      </x:c>
      <x:c r="I12" t="str">
        <x:v>FR2970</x:v>
      </x:c>
      <x:c r="J12" t="str">
        <x:v>Atlantic islands (Spanish/Portuguese territory)</x:v>
      </x:c>
    </x:row>
    <x:row r="13">
      <x:c r="A13" t="str">
        <x:v>Edinburgh</x:v>
      </x:c>
      <x:c r="B13" t="str">
        <x:v>Thu</x:v>
      </x:c>
      <x:c r="C13" s="50" t="n">
        <x:v>46408</x:v>
      </x:c>
      <x:c r="D13" s="52" t="n">
        <x:v>0.583333333333333</x:v>
      </x:c>
      <x:c r="E13" s="52" t="n">
        <x:v>0.680555555555556</x:v>
      </x:c>
      <x:c r="F13" t="str">
        <x:v>Alicante</x:v>
      </x:c>
      <x:c r="G13" t="str">
        <x:v>Spain</x:v>
      </x:c>
      <x:c r="H13" t="str">
        <x:v>Jet2</x:v>
      </x:c>
      <x:c r="I13" t="str">
        <x:v>LS776</x:v>
      </x:c>
      <x:c r="J13"/>
    </x:row>
    <x:row r="14">
      <x:c r="A14" t="str">
        <x:v>Edinburgh</x:v>
      </x:c>
      <x:c r="B14" t="str">
        <x:v>Thu</x:v>
      </x:c>
      <x:c r="C14" s="50" t="n">
        <x:v>46408</x:v>
      </x:c>
      <x:c r="D14" s="52" t="n">
        <x:v>0.704861111111111</x:v>
      </x:c>
      <x:c r="E14" s="52" t="n">
        <x:v>0.743055555555556</x:v>
      </x:c>
      <x:c r="F14" t="str">
        <x:v>Helsinki</x:v>
      </x:c>
      <x:c r="G14" t="str">
        <x:v>Finland</x:v>
      </x:c>
      <x:c r="H14" t="str">
        <x:v>Finnair</x:v>
      </x:c>
      <x:c r="I14" t="str">
        <x:v>AY1373</x:v>
      </x:c>
      <x:c r="J14"/>
    </x:row>
    <x:row r="15">
      <x:c r="A15" t="str">
        <x:v>Edinburgh</x:v>
      </x:c>
      <x:c r="B15" t="str">
        <x:v>Thu</x:v>
      </x:c>
      <x:c r="C15" s="50" t="n">
        <x:v>46408</x:v>
      </x:c>
      <x:c r="D15" s="52" t="n">
        <x:v>0.711805555555556</x:v>
      </x:c>
      <x:c r="E15" s="52" t="n">
        <x:v>0.770833333333333</x:v>
      </x:c>
      <x:c r="F15" t="str">
        <x:v>Prague</x:v>
      </x:c>
      <x:c r="G15" t="str">
        <x:v>Czechia</x:v>
      </x:c>
      <x:c r="H15" t="str">
        <x:v>easyJet</x:v>
      </x:c>
      <x:c r="I15" t="str">
        <x:v>U22754</x:v>
      </x:c>
      <x:c r="J15"/>
    </x:row>
    <x:row r="16">
      <x:c r="A16" t="str">
        <x:v>Edinburgh</x:v>
      </x:c>
      <x:c r="B16" t="str">
        <x:v>Thu</x:v>
      </x:c>
      <x:c r="C16" s="50" t="n">
        <x:v>46408</x:v>
      </x:c>
      <x:c r="D16" s="52" t="n">
        <x:v>0.739583333333333</x:v>
      </x:c>
      <x:c r="E16" s="52" t="n">
        <x:v>0.774305555555556</x:v>
      </x:c>
      <x:c r="F16" t="str">
        <x:v>Paris CDG</x:v>
      </x:c>
      <x:c r="G16" t="str">
        <x:v>France</x:v>
      </x:c>
      <x:c r="H16" t="str">
        <x:v>easyJet</x:v>
      </x:c>
      <x:c r="I16" t="str">
        <x:v>U24693</x:v>
      </x:c>
      <x:c r="J16"/>
    </x:row>
    <x:row r="17">
      <x:c r="A17" t="str">
        <x:v>Edinburgh</x:v>
      </x:c>
      <x:c r="B17" t="str">
        <x:v>Thu</x:v>
      </x:c>
      <x:c r="C17" s="50" t="n">
        <x:v>46408</x:v>
      </x:c>
      <x:c r="D17" s="52" t="n">
        <x:v>0.569444444444444</x:v>
      </x:c>
      <x:c r="E17" s="52" t="n">
        <x:v>0.774305555555556</x:v>
      </x:c>
      <x:c r="F17" t="str">
        <x:v>Tenerife South</x:v>
      </x:c>
      <x:c r="G17" t="str">
        <x:v>Spain (Canaries)</x:v>
      </x:c>
      <x:c r="H17" t="str">
        <x:v>Jet2</x:v>
      </x:c>
      <x:c r="I17" t="str">
        <x:v>LS728</x:v>
      </x:c>
      <x:c r="J17" t="str">
        <x:v>Atlantic islands (Spanish/Portuguese territory)</x:v>
      </x:c>
    </x:row>
    <x:row r="18">
      <x:c r="A18" t="str">
        <x:v>Edinburgh</x:v>
      </x:c>
      <x:c r="B18" t="str">
        <x:v>Thu</x:v>
      </x:c>
      <x:c r="C18" s="50" t="n">
        <x:v>46408</x:v>
      </x:c>
      <x:c r="D18" s="52" t="n">
        <x:v>0.586805555555556</x:v>
      </x:c>
      <x:c r="E18" s="52" t="n">
        <x:v>0.777777777777778</x:v>
      </x:c>
      <x:c r="F18" t="str">
        <x:v>Lanzarote</x:v>
      </x:c>
      <x:c r="G18" t="str">
        <x:v>Spain (Canaries)</x:v>
      </x:c>
      <x:c r="H18" t="str">
        <x:v>Jet2</x:v>
      </x:c>
      <x:c r="I18" t="str">
        <x:v>LS786</x:v>
      </x:c>
      <x:c r="J18" t="str">
        <x:v>Atlantic islands (Spanish/Portuguese territory)</x:v>
      </x:c>
    </x:row>
    <x:row r="19">
      <x:c r="A19" t="str">
        <x:v>Edinburgh</x:v>
      </x:c>
      <x:c r="B19" t="str">
        <x:v>Thu</x:v>
      </x:c>
      <x:c r="C19" s="50" t="n">
        <x:v>46408</x:v>
      </x:c>
      <x:c r="D19" s="52" t="n">
        <x:v>0.763888888888889</x:v>
      </x:c>
      <x:c r="E19" s="52" t="n">
        <x:v>0.784722222222222</x:v>
      </x:c>
      <x:c r="F19" t="str">
        <x:v>Amsterdam</x:v>
      </x:c>
      <x:c r="G19" t="str">
        <x:v>Netherlands</x:v>
      </x:c>
      <x:c r="H19" t="str">
        <x:v>easyJet</x:v>
      </x:c>
      <x:c r="I19" t="str">
        <x:v>U27837</x:v>
      </x:c>
      <x:c r="J19"/>
    </x:row>
    <x:row r="20">
      <x:c r="A20" t="str">
        <x:v>Edinburgh</x:v>
      </x:c>
      <x:c r="B20" t="str">
        <x:v>Thu</x:v>
      </x:c>
      <x:c r="C20" s="50" t="n">
        <x:v>46408</x:v>
      </x:c>
      <x:c r="D20" s="52" t="n">
        <x:v>0.611111111111111</x:v>
      </x:c>
      <x:c r="E20" s="52" t="n">
        <x:v>0.784722222222222</x:v>
      </x:c>
      <x:c r="F20" t="str">
        <x:v>Funchal</x:v>
      </x:c>
      <x:c r="G20" t="str">
        <x:v>Portugal (Madeira)</x:v>
      </x:c>
      <x:c r="H20" t="str">
        <x:v>Jet2</x:v>
      </x:c>
      <x:c r="I20" t="str">
        <x:v>LS736</x:v>
      </x:c>
      <x:c r="J20" t="str">
        <x:v>Atlantic islands (Spanish/Portuguese territory)</x:v>
      </x:c>
    </x:row>
    <x:row r="21">
      <x:c r="A21" t="str">
        <x:v>Edinburgh</x:v>
      </x:c>
      <x:c r="B21" t="str">
        <x:v>Thu</x:v>
      </x:c>
      <x:c r="C21" s="50" t="n">
        <x:v>46408</x:v>
      </x:c>
      <x:c r="D21" s="52" t="n">
        <x:v>0.725694444444444</x:v>
      </x:c>
      <x:c r="E21" s="52" t="n">
        <x:v>0.805555555555556</x:v>
      </x:c>
      <x:c r="F21" t="str">
        <x:v>Barcelona</x:v>
      </x:c>
      <x:c r="G21" t="str">
        <x:v>Spain</x:v>
      </x:c>
      <x:c r="H21" t="str">
        <x:v>Ryanair</x:v>
      </x:c>
      <x:c r="I21" t="str">
        <x:v>FR6267</x:v>
      </x:c>
      <x:c r="J21"/>
    </x:row>
    <x:row r="22">
      <x:c r="A22" t="str">
        <x:v>Edinburgh</x:v>
      </x:c>
      <x:c r="B22" t="str">
        <x:v>Fri</x:v>
      </x:c>
      <x:c r="C22" s="50" t="n">
        <x:v>46409</x:v>
      </x:c>
      <x:c r="D22" s="52" t="n">
        <x:v>0.576388888888889</x:v>
      </x:c>
      <x:c r="E22" s="52" t="n">
        <x:v>0.631944444444444</x:v>
      </x:c>
      <x:c r="F22" t="str">
        <x:v>Geneva</x:v>
      </x:c>
      <x:c r="G22" t="str">
        <x:v>Switzerland</x:v>
      </x:c>
      <x:c r="H22" t="str">
        <x:v>easyJet</x:v>
      </x:c>
      <x:c r="I22" t="str">
        <x:v>U23294</x:v>
      </x:c>
      <x:c r="J22"/>
    </x:row>
    <x:row r="23">
      <x:c r="A23" t="str">
        <x:v>Edinburgh</x:v>
      </x:c>
      <x:c r="B23" t="str">
        <x:v>Fri</x:v>
      </x:c>
      <x:c r="C23" s="50" t="n">
        <x:v>46409</x:v>
      </x:c>
      <x:c r="D23" s="52" t="n">
        <x:v>0.600694444444444</x:v>
      </x:c>
      <x:c r="E23" s="52" t="n">
        <x:v>0.635416666666667</x:v>
      </x:c>
      <x:c r="F23" t="str">
        <x:v>Paris CDG</x:v>
      </x:c>
      <x:c r="G23" t="str">
        <x:v>France</x:v>
      </x:c>
      <x:c r="H23" t="str">
        <x:v>easyJet</x:v>
      </x:c>
      <x:c r="I23" t="str">
        <x:v>U23244</x:v>
      </x:c>
      <x:c r="J23"/>
    </x:row>
    <x:row r="24">
      <x:c r="A24" t="str">
        <x:v>Edinburgh</x:v>
      </x:c>
      <x:c r="B24" t="str">
        <x:v>Fri</x:v>
      </x:c>
      <x:c r="C24" s="50" t="n">
        <x:v>46409</x:v>
      </x:c>
      <x:c r="D24" s="52" t="n">
        <x:v>0.597222222222222</x:v>
      </x:c>
      <x:c r="E24" s="52" t="n">
        <x:v>0.649305555555556</x:v>
      </x:c>
      <x:c r="F24" t="str">
        <x:v>Berlin</x:v>
      </x:c>
      <x:c r="G24" t="str">
        <x:v>Germany</x:v>
      </x:c>
      <x:c r="H24" t="str">
        <x:v>Ryanair</x:v>
      </x:c>
      <x:c r="I24" t="str">
        <x:v>FR2377</x:v>
      </x:c>
      <x:c r="J24"/>
    </x:row>
    <x:row r="25">
      <x:c r="A25" t="str">
        <x:v>Edinburgh</x:v>
      </x:c>
      <x:c r="B25" t="str">
        <x:v>Fri</x:v>
      </x:c>
      <x:c r="C25" s="50" t="n">
        <x:v>46409</x:v>
      </x:c>
      <x:c r="D25" s="52" t="n">
        <x:v>0.652777777777778</x:v>
      </x:c>
      <x:c r="E25" s="52" t="n">
        <x:v>0.670138888888889</x:v>
      </x:c>
      <x:c r="F25" t="str">
        <x:v>Amsterdam</x:v>
      </x:c>
      <x:c r="G25" t="str">
        <x:v>Netherlands</x:v>
      </x:c>
      <x:c r="H25" t="str">
        <x:v>KLM</x:v>
      </x:c>
      <x:c r="I25" t="str">
        <x:v>KL931</x:v>
      </x:c>
      <x:c r="J25"/>
    </x:row>
    <x:row r="26">
      <x:c r="A26" t="str">
        <x:v>Edinburgh</x:v>
      </x:c>
      <x:c r="B26" t="str">
        <x:v>Fri</x:v>
      </x:c>
      <x:c r="C26" s="50" t="n">
        <x:v>46409</x:v>
      </x:c>
      <x:c r="D26" s="52" t="n">
        <x:v>0.677083333333333</x:v>
      </x:c>
      <x:c r="E26" s="52" t="n">
        <x:v>0.704861111111111</x:v>
      </x:c>
      <x:c r="F26" t="str">
        <x:v>Brussels Charleroi</x:v>
      </x:c>
      <x:c r="G26" t="str">
        <x:v>Belgium</x:v>
      </x:c>
      <x:c r="H26" t="str">
        <x:v>Ryanair</x:v>
      </x:c>
      <x:c r="I26" t="str">
        <x:v>FR7353</x:v>
      </x:c>
      <x:c r="J26"/>
    </x:row>
    <x:row r="27">
      <x:c r="A27" t="str">
        <x:v>Edinburgh</x:v>
      </x:c>
      <x:c r="B27" t="str">
        <x:v>Fri</x:v>
      </x:c>
      <x:c r="C27" s="50" t="n">
        <x:v>46409</x:v>
      </x:c>
      <x:c r="D27" s="52" t="n">
        <x:v>0.625</x:v>
      </x:c>
      <x:c r="E27" s="52" t="n">
        <x:v>0.715277777777778</x:v>
      </x:c>
      <x:c r="F27" t="str">
        <x:v>Rome Ciampino</x:v>
      </x:c>
      <x:c r="G27" t="str">
        <x:v>Italy</x:v>
      </x:c>
      <x:c r="H27" t="str">
        <x:v>Ryanair</x:v>
      </x:c>
      <x:c r="I27" t="str">
        <x:v>FR5590</x:v>
      </x:c>
      <x:c r="J27"/>
    </x:row>
    <x:row r="28">
      <x:c r="A28" t="str">
        <x:v>Edinburgh</x:v>
      </x:c>
      <x:c r="B28" t="str">
        <x:v>Fri</x:v>
      </x:c>
      <x:c r="C28" s="50" t="n">
        <x:v>46409</x:v>
      </x:c>
      <x:c r="D28" s="52" t="n">
        <x:v>0.715277777777778</x:v>
      </x:c>
      <x:c r="E28" s="52" t="n">
        <x:v>0.743055555555556</x:v>
      </x:c>
      <x:c r="F28" t="str">
        <x:v>Paris Beauvais</x:v>
      </x:c>
      <x:c r="G28" t="str">
        <x:v>France</x:v>
      </x:c>
      <x:c r="H28" t="str">
        <x:v>Ryanair</x:v>
      </x:c>
      <x:c r="I28" t="str">
        <x:v>FR5592</x:v>
      </x:c>
      <x:c r="J28"/>
    </x:row>
    <x:row r="29">
      <x:c r="A29" t="str">
        <x:v>Edinburgh</x:v>
      </x:c>
      <x:c r="B29" t="str">
        <x:v>Fri</x:v>
      </x:c>
      <x:c r="C29" s="50" t="n">
        <x:v>46409</x:v>
      </x:c>
      <x:c r="D29" s="52" t="n">
        <x:v>0.704861111111111</x:v>
      </x:c>
      <x:c r="E29" s="52" t="n">
        <x:v>0.743055555555556</x:v>
      </x:c>
      <x:c r="F29" t="str">
        <x:v>Helsinki</x:v>
      </x:c>
      <x:c r="G29" t="str">
        <x:v>Finland</x:v>
      </x:c>
      <x:c r="H29" t="str">
        <x:v>Finnair</x:v>
      </x:c>
      <x:c r="I29" t="str">
        <x:v>AY1373</x:v>
      </x:c>
      <x:c r="J29"/>
    </x:row>
    <x:row r="30">
      <x:c r="A30" t="str">
        <x:v>Edinburgh</x:v>
      </x:c>
      <x:c r="B30" t="str">
        <x:v>Fri</x:v>
      </x:c>
      <x:c r="C30" s="50" t="n">
        <x:v>46409</x:v>
      </x:c>
      <x:c r="D30" s="52" t="n">
        <x:v>0.645833333333333</x:v>
      </x:c>
      <x:c r="E30" s="52" t="n">
        <x:v>0.743055555555556</x:v>
      </x:c>
      <x:c r="F30" t="str">
        <x:v>Naples</x:v>
      </x:c>
      <x:c r="G30" t="str">
        <x:v>Italy</x:v>
      </x:c>
      <x:c r="H30" t="str">
        <x:v>Ryanair</x:v>
      </x:c>
      <x:c r="I30" t="str">
        <x:v>FR7410</x:v>
      </x:c>
      <x:c r="J30"/>
    </x:row>
    <x:row r="31">
      <x:c r="A31" t="str">
        <x:v>Edinburgh</x:v>
      </x:c>
      <x:c r="B31" t="str">
        <x:v>Fri</x:v>
      </x:c>
      <x:c r="C31" s="50" t="n">
        <x:v>46409</x:v>
      </x:c>
      <x:c r="D31" s="52" t="n">
        <x:v>0.649305555555556</x:v>
      </x:c>
      <x:c r="E31" s="52" t="n">
        <x:v>0.753472222222222</x:v>
      </x:c>
      <x:c r="F31" t="str">
        <x:v>Málaga</x:v>
      </x:c>
      <x:c r="G31" t="str">
        <x:v>Spain</x:v>
      </x:c>
      <x:c r="H31" t="str">
        <x:v>Jet2</x:v>
      </x:c>
      <x:c r="I31" t="str">
        <x:v>LS760</x:v>
      </x:c>
      <x:c r="J31"/>
    </x:row>
    <x:row r="32">
      <x:c r="A32" t="str">
        <x:v>Edinburgh</x:v>
      </x:c>
      <x:c r="B32" t="str">
        <x:v>Fri</x:v>
      </x:c>
      <x:c r="C32" s="50" t="n">
        <x:v>46409</x:v>
      </x:c>
      <x:c r="D32" s="52" t="n">
        <x:v>0.708333333333333</x:v>
      </x:c>
      <x:c r="E32" s="52" t="n">
        <x:v>0.763888888888889</x:v>
      </x:c>
      <x:c r="F32" t="str">
        <x:v>Berlin</x:v>
      </x:c>
      <x:c r="G32" t="str">
        <x:v>Germany</x:v>
      </x:c>
      <x:c r="H32" t="str">
        <x:v>easyJet</x:v>
      </x:c>
      <x:c r="I32" t="str">
        <x:v>U23262</x:v>
      </x:c>
      <x:c r="J32"/>
    </x:row>
    <x:row r="33">
      <x:c r="A33" t="str">
        <x:v>Edinburgh</x:v>
      </x:c>
      <x:c r="B33" t="str">
        <x:v>Fri</x:v>
      </x:c>
      <x:c r="C33" s="50" t="n">
        <x:v>46409</x:v>
      </x:c>
      <x:c r="D33" s="52" t="n">
        <x:v>0.559027777777778</x:v>
      </x:c>
      <x:c r="E33" s="52" t="n">
        <x:v>0.763888888888889</x:v>
      </x:c>
      <x:c r="F33" t="str">
        <x:v>Tenerife South</x:v>
      </x:c>
      <x:c r="G33" t="str">
        <x:v>Spain (Canaries)</x:v>
      </x:c>
      <x:c r="H33" t="str">
        <x:v>Jet2</x:v>
      </x:c>
      <x:c r="I33" t="str">
        <x:v>LS740</x:v>
      </x:c>
      <x:c r="J33" t="str">
        <x:v>Atlantic islands (Spanish/Portuguese territory)</x:v>
      </x:c>
    </x:row>
    <x:row r="34">
      <x:c r="A34" t="str">
        <x:v>Edinburgh</x:v>
      </x:c>
      <x:c r="B34" t="str">
        <x:v>Fri</x:v>
      </x:c>
      <x:c r="C34" s="50" t="n">
        <x:v>46409</x:v>
      </x:c>
      <x:c r="D34" s="52" t="n">
        <x:v>0.725694444444444</x:v>
      </x:c>
      <x:c r="E34" s="52" t="n">
        <x:v>0.767361111111111</x:v>
      </x:c>
      <x:c r="F34" t="str">
        <x:v>Copenhagen</x:v>
      </x:c>
      <x:c r="G34" t="str">
        <x:v>Denmark</x:v>
      </x:c>
      <x:c r="H34" t="str">
        <x:v>SAS</x:v>
      </x:c>
      <x:c r="I34" t="str">
        <x:v>SK2513</x:v>
      </x:c>
      <x:c r="J34"/>
    </x:row>
    <x:row r="35">
      <x:c r="A35" t="str">
        <x:v>Edinburgh</x:v>
      </x:c>
      <x:c r="B35" t="str">
        <x:v>Fri</x:v>
      </x:c>
      <x:c r="C35" s="50" t="n">
        <x:v>46409</x:v>
      </x:c>
      <x:c r="D35" s="52" t="n">
        <x:v>0.739583333333333</x:v>
      </x:c>
      <x:c r="E35" s="52" t="n">
        <x:v>0.774305555555556</x:v>
      </x:c>
      <x:c r="F35" t="str">
        <x:v>Copenhagen</x:v>
      </x:c>
      <x:c r="G35" t="str">
        <x:v>Denmark</x:v>
      </x:c>
      <x:c r="H35" t="str">
        <x:v>Norwegian</x:v>
      </x:c>
      <x:c r="I35" t="str">
        <x:v>D83502</x:v>
      </x:c>
      <x:c r="J35"/>
    </x:row>
    <x:row r="36">
      <x:c r="A36" t="str">
        <x:v>Edinburgh</x:v>
      </x:c>
      <x:c r="B36" t="str">
        <x:v>Fri</x:v>
      </x:c>
      <x:c r="C36" s="50" t="n">
        <x:v>46409</x:v>
      </x:c>
      <x:c r="D36" s="52" t="n">
        <x:v>0.743055555555556</x:v>
      </x:c>
      <x:c r="E36" s="52" t="n">
        <x:v>0.78125</x:v>
      </x:c>
      <x:c r="F36" t="str">
        <x:v>Kaunas</x:v>
      </x:c>
      <x:c r="G36" t="str">
        <x:v>Lithuania</x:v>
      </x:c>
      <x:c r="H36" t="str">
        <x:v>Ryanair</x:v>
      </x:c>
      <x:c r="I36" t="str">
        <x:v>FR2885</x:v>
      </x:c>
      <x:c r="J36"/>
    </x:row>
    <x:row r="37">
      <x:c r="A37" t="str">
        <x:v>Edinburgh</x:v>
      </x:c>
      <x:c r="B37" t="str">
        <x:v>Fri</x:v>
      </x:c>
      <x:c r="C37" s="50" t="n">
        <x:v>46409</x:v>
      </x:c>
      <x:c r="D37" s="52" t="n">
        <x:v>0.715277777777778</x:v>
      </x:c>
      <x:c r="E37" s="52" t="n">
        <x:v>0.788194444444444</x:v>
      </x:c>
      <x:c r="F37" t="str">
        <x:v>Venice</x:v>
      </x:c>
      <x:c r="G37" t="str">
        <x:v>Italy</x:v>
      </x:c>
      <x:c r="H37" t="str">
        <x:v>Ryanair</x:v>
      </x:c>
      <x:c r="I37" t="str">
        <x:v>FR1653</x:v>
      </x:c>
      <x:c r="J37"/>
    </x:row>
    <x:row r="38">
      <x:c r="A38" t="str">
        <x:v>Edinburgh</x:v>
      </x:c>
      <x:c r="B38" t="str">
        <x:v>Fri</x:v>
      </x:c>
      <x:c r="C38" s="50" t="n">
        <x:v>46409</x:v>
      </x:c>
      <x:c r="D38" s="52" t="n">
        <x:v>0.739583333333333</x:v>
      </x:c>
      <x:c r="E38" s="52" t="n">
        <x:v>0.798611111111111</x:v>
      </x:c>
      <x:c r="F38" t="str">
        <x:v>Zurich</x:v>
      </x:c>
      <x:c r="G38" t="str">
        <x:v>Switzerland</x:v>
      </x:c>
      <x:c r="H38" t="str">
        <x:v>Edelweiss</x:v>
      </x:c>
      <x:c r="I38" t="str">
        <x:v>WK290</x:v>
      </x:c>
      <x:c r="J38"/>
    </x:row>
    <x:row r="39">
      <x:c r="A39" t="str">
        <x:v>Edinburgh</x:v>
      </x:c>
      <x:c r="B39" t="str">
        <x:v>Fri</x:v>
      </x:c>
      <x:c r="C39" s="50" t="n">
        <x:v>46409</x:v>
      </x:c>
      <x:c r="D39" s="52" t="n">
        <x:v>0.611111111111111</x:v>
      </x:c>
      <x:c r="E39" s="52" t="n">
        <x:v>0.802083333333333</x:v>
      </x:c>
      <x:c r="F39" t="str">
        <x:v>Lanzarote</x:v>
      </x:c>
      <x:c r="G39" t="str">
        <x:v>Spain (Canaries)</x:v>
      </x:c>
      <x:c r="H39" t="str">
        <x:v>Jet2</x:v>
      </x:c>
      <x:c r="I39" t="str">
        <x:v>LS706</x:v>
      </x:c>
      <x:c r="J39" t="str">
        <x:v>Atlantic islands (Spanish/Portuguese territory)</x:v>
      </x:c>
    </x:row>
    <x:row r="40">
      <x:c r="A40" t="str">
        <x:v>Edinburgh</x:v>
      </x:c>
      <x:c r="B40" t="str">
        <x:v>Fri</x:v>
      </x:c>
      <x:c r="C40" s="50" t="n">
        <x:v>46409</x:v>
      </x:c>
      <x:c r="D40" s="52" t="n">
        <x:v>0.743055555555556</x:v>
      </x:c>
      <x:c r="E40" s="52" t="n">
        <x:v>0.805555555555556</x:v>
      </x:c>
      <x:c r="F40" t="str">
        <x:v>Poznań</x:v>
      </x:c>
      <x:c r="G40" t="str">
        <x:v>Poland</x:v>
      </x:c>
      <x:c r="H40" t="str">
        <x:v>Ryanair</x:v>
      </x:c>
      <x:c r="I40" t="str">
        <x:v>FR6619</x:v>
      </x:c>
      <x:c r="J40"/>
    </x:row>
    <x:row r="41">
      <x:c r="A41" t="str">
        <x:v>Edinburgh</x:v>
      </x:c>
      <x:c r="B41" t="str">
        <x:v>Fri</x:v>
      </x:c>
      <x:c r="C41" s="50" t="n">
        <x:v>46409</x:v>
      </x:c>
      <x:c r="D41" s="52" t="n">
        <x:v>0.611111111111111</x:v>
      </x:c>
      <x:c r="E41" s="52" t="n">
        <x:v>0.8125</x:v>
      </x:c>
      <x:c r="F41" t="str">
        <x:v>Gran Canaria</x:v>
      </x:c>
      <x:c r="G41" t="str">
        <x:v>Spain (Canaries)</x:v>
      </x:c>
      <x:c r="H41" t="str">
        <x:v>Jet2</x:v>
      </x:c>
      <x:c r="I41" t="str">
        <x:v>LS716</x:v>
      </x:c>
      <x:c r="J41" t="str">
        <x:v>Atlantic islands (Spanish/Portuguese territory)</x:v>
      </x:c>
    </x:row>
    <x:row r="42">
      <x:c r="A42" t="str">
        <x:v>Edinburgh</x:v>
      </x:c>
      <x:c r="B42" t="str">
        <x:v>Fri</x:v>
      </x:c>
      <x:c r="C42" s="50" t="n">
        <x:v>46409</x:v>
      </x:c>
      <x:c r="D42" s="52" t="n">
        <x:v>0.760416666666667</x:v>
      </x:c>
      <x:c r="E42" s="52" t="n">
        <x:v>0.854166666666667</x:v>
      </x:c>
      <x:c r="F42" t="str">
        <x:v>Antalya</x:v>
      </x:c>
      <x:c r="G42" t="str">
        <x:v>Turkey</x:v>
      </x:c>
      <x:c r="H42" t="str">
        <x:v>Jet2</x:v>
      </x:c>
      <x:c r="I42" t="str">
        <x:v>LS758</x:v>
      </x:c>
      <x:c r="J42" t="str">
        <x:v>Turkey (transcontinental)</x:v>
      </x:c>
    </x:row>
    <x:row r="43">
      <x:c r="A43" t="str">
        <x:v>Edinburgh</x:v>
      </x:c>
      <x:c r="B43" t="str">
        <x:v>Fri</x:v>
      </x:c>
      <x:c r="C43" s="50" t="n">
        <x:v>46409</x:v>
      </x:c>
      <x:c r="D43" s="52" t="n">
        <x:v>0.78125</x:v>
      </x:c>
      <x:c r="E43" s="52" t="n">
        <x:v>0.864583333333333</x:v>
      </x:c>
      <x:c r="F43" t="str">
        <x:v>Madrid</x:v>
      </x:c>
      <x:c r="G43" t="str">
        <x:v>Spain</x:v>
      </x:c>
      <x:c r="H43" t="str">
        <x:v>easyJet</x:v>
      </x:c>
      <x:c r="I43" t="str">
        <x:v>U23210</x:v>
      </x:c>
      <x:c r="J43"/>
    </x:row>
    <x:row r="44">
      <x:c r="A44" t="str">
        <x:v>Glasgow</x:v>
      </x:c>
      <x:c r="B44" t="str">
        <x:v>Thu</x:v>
      </x:c>
      <x:c r="C44" s="50" t="n">
        <x:v>46408</x:v>
      </x:c>
      <x:c r="D44" s="52" t="n">
        <x:v>0.541666666666667</x:v>
      </x:c>
      <x:c r="E44" s="52" t="n">
        <x:v>0.642361111111111</x:v>
      </x:c>
      <x:c r="F44" t="str">
        <x:v>Rome Fiumicino</x:v>
      </x:c>
      <x:c r="G44" t="str">
        <x:v>Italy</x:v>
      </x:c>
      <x:c r="H44" t="str">
        <x:v>Jet2</x:v>
      </x:c>
      <x:c r="I44" t="str">
        <x:v>LS136</x:v>
      </x:c>
      <x:c r="J44"/>
    </x:row>
    <x:row r="45">
      <x:c r="A45" t="str">
        <x:v>Glasgow</x:v>
      </x:c>
      <x:c r="B45" t="str">
        <x:v>Thu</x:v>
      </x:c>
      <x:c r="C45" s="50" t="n">
        <x:v>46408</x:v>
      </x:c>
      <x:c r="D45" s="52" t="n">
        <x:v>0.5625</x:v>
      </x:c>
      <x:c r="E45" s="52" t="n">
        <x:v>0.659722222222222</x:v>
      </x:c>
      <x:c r="F45" t="str">
        <x:v>Alicante</x:v>
      </x:c>
      <x:c r="G45" t="str">
        <x:v>Spain</x:v>
      </x:c>
      <x:c r="H45" t="str">
        <x:v>easyJet</x:v>
      </x:c>
      <x:c r="I45" t="str">
        <x:v>U23136</x:v>
      </x:c>
      <x:c r="J45"/>
    </x:row>
    <x:row r="46">
      <x:c r="A46" t="str">
        <x:v>Glasgow</x:v>
      </x:c>
      <x:c r="B46" t="str">
        <x:v>Thu</x:v>
      </x:c>
      <x:c r="C46" s="50" t="n">
        <x:v>46408</x:v>
      </x:c>
      <x:c r="D46" s="52" t="n">
        <x:v>0.666666666666667</x:v>
      </x:c>
      <x:c r="E46" s="52" t="n">
        <x:v>0.6875</x:v>
      </x:c>
      <x:c r="F46" t="str">
        <x:v>Amsterdam</x:v>
      </x:c>
      <x:c r="G46" t="str">
        <x:v>Netherlands</x:v>
      </x:c>
      <x:c r="H46" t="str">
        <x:v>KLM</x:v>
      </x:c>
      <x:c r="I46" t="str">
        <x:v>KL941</x:v>
      </x:c>
      <x:c r="J46"/>
    </x:row>
    <x:row r="47">
      <x:c r="A47" t="str">
        <x:v>Glasgow</x:v>
      </x:c>
      <x:c r="B47" t="str">
        <x:v>Thu</x:v>
      </x:c>
      <x:c r="C47" s="50" t="n">
        <x:v>46408</x:v>
      </x:c>
      <x:c r="D47" s="52" t="n">
        <x:v>0.604166666666667</x:v>
      </x:c>
      <x:c r="E47" s="52" t="n">
        <x:v>0.805555555555556</x:v>
      </x:c>
      <x:c r="F47" t="str">
        <x:v>Tenerife South</x:v>
      </x:c>
      <x:c r="G47" t="str">
        <x:v>Spain (Canaries)</x:v>
      </x:c>
      <x:c r="H47" t="str">
        <x:v>Jet2</x:v>
      </x:c>
      <x:c r="I47" t="str">
        <x:v>LS156</x:v>
      </x:c>
      <x:c r="J47" t="str">
        <x:v>Atlantic islands (Spanish/Portuguese territory)</x:v>
      </x:c>
    </x:row>
    <x:row r="48">
      <x:c r="A48" t="str">
        <x:v>Glasgow</x:v>
      </x:c>
      <x:c r="B48" t="str">
        <x:v>Thu</x:v>
      </x:c>
      <x:c r="C48" s="50" t="n">
        <x:v>46408</x:v>
      </x:c>
      <x:c r="D48" s="52" t="n">
        <x:v>0.631944444444444</x:v>
      </x:c>
      <x:c r="E48" s="52" t="n">
        <x:v>0.822916666666667</x:v>
      </x:c>
      <x:c r="F48" t="str">
        <x:v>Lanzarote</x:v>
      </x:c>
      <x:c r="G48" t="str">
        <x:v>Spain (Canaries)</x:v>
      </x:c>
      <x:c r="H48" t="str">
        <x:v>Jet2</x:v>
      </x:c>
      <x:c r="I48" t="str">
        <x:v>LS168</x:v>
      </x:c>
      <x:c r="J48" t="str">
        <x:v>Atlantic islands (Spanish/Portuguese territory)</x:v>
      </x:c>
    </x:row>
    <x:row r="49">
      <x:c r="A49" t="str">
        <x:v>Glasgow</x:v>
      </x:c>
      <x:c r="B49" t="str">
        <x:v>Thu</x:v>
      </x:c>
      <x:c r="C49" s="50" t="n">
        <x:v>46408</x:v>
      </x:c>
      <x:c r="D49" s="52" t="n">
        <x:v>0.760416666666667</x:v>
      </x:c>
      <x:c r="E49" s="52" t="n">
        <x:v>0.861111111111111</x:v>
      </x:c>
      <x:c r="F49" t="str">
        <x:v>Rome Fiumicino</x:v>
      </x:c>
      <x:c r="G49" t="str">
        <x:v>Italy</x:v>
      </x:c>
      <x:c r="H49" t="str">
        <x:v>easyJet</x:v>
      </x:c>
      <x:c r="I49" t="str">
        <x:v>U22818</x:v>
      </x:c>
      <x:c r="J49"/>
    </x:row>
    <x:row r="50">
      <x:c r="A50" t="str">
        <x:v>Glasgow</x:v>
      </x:c>
      <x:c r="B50" t="str">
        <x:v>Thu</x:v>
      </x:c>
      <x:c r="C50" s="50" t="n">
        <x:v>46408</x:v>
      </x:c>
      <x:c r="D50" s="52" t="n">
        <x:v>0.663194444444444</x:v>
      </x:c>
      <x:c r="E50" s="52" t="n">
        <x:v>0.864583333333333</x:v>
      </x:c>
      <x:c r="F50" t="str">
        <x:v>Gran Canaria</x:v>
      </x:c>
      <x:c r="G50" t="str">
        <x:v>Spain (Canaries)</x:v>
      </x:c>
      <x:c r="H50" t="str">
        <x:v>Jet2</x:v>
      </x:c>
      <x:c r="I50" t="str">
        <x:v>LS144</x:v>
      </x:c>
      <x:c r="J50" t="str">
        <x:v>Atlantic islands (Spanish/Portuguese territory)</x:v>
      </x:c>
    </x:row>
    <x:row r="51">
      <x:c r="A51" t="str">
        <x:v>Glasgow</x:v>
      </x:c>
      <x:c r="B51" t="str">
        <x:v>Fri</x:v>
      </x:c>
      <x:c r="C51" s="50" t="n">
        <x:v>46409</x:v>
      </x:c>
      <x:c r="D51" s="52" t="n">
        <x:v>0.555555555555556</x:v>
      </x:c>
      <x:c r="E51" s="52" t="n">
        <x:v>0.645833333333333</x:v>
      </x:c>
      <x:c r="F51" t="str">
        <x:v>Alicante</x:v>
      </x:c>
      <x:c r="G51" t="str">
        <x:v>Spain</x:v>
      </x:c>
      <x:c r="H51" t="str">
        <x:v>Ryanair</x:v>
      </x:c>
      <x:c r="I51" t="str">
        <x:v>FR2521</x:v>
      </x:c>
      <x:c r="J51"/>
    </x:row>
    <x:row r="52">
      <x:c r="A52" t="str">
        <x:v>Glasgow</x:v>
      </x:c>
      <x:c r="B52" t="str">
        <x:v>Fri</x:v>
      </x:c>
      <x:c r="C52" s="50" t="n">
        <x:v>46409</x:v>
      </x:c>
      <x:c r="D52" s="52" t="n">
        <x:v>0.666666666666667</x:v>
      </x:c>
      <x:c r="E52" s="52" t="n">
        <x:v>0.6875</x:v>
      </x:c>
      <x:c r="F52" t="str">
        <x:v>Amsterdam</x:v>
      </x:c>
      <x:c r="G52" t="str">
        <x:v>Netherlands</x:v>
      </x:c>
      <x:c r="H52" t="str">
        <x:v>KLM</x:v>
      </x:c>
      <x:c r="I52" t="str">
        <x:v>KL941</x:v>
      </x:c>
      <x:c r="J52"/>
    </x:row>
    <x:row r="53">
      <x:c r="A53" t="str">
        <x:v>Glasgow</x:v>
      </x:c>
      <x:c r="B53" t="str">
        <x:v>Fri</x:v>
      </x:c>
      <x:c r="C53" s="50" t="n">
        <x:v>46409</x:v>
      </x:c>
      <x:c r="D53" s="52" t="n">
        <x:v>0.604166666666667</x:v>
      </x:c>
      <x:c r="E53" s="52" t="n">
        <x:v>0.805555555555556</x:v>
      </x:c>
      <x:c r="F53" t="str">
        <x:v>Tenerife South</x:v>
      </x:c>
      <x:c r="G53" t="str">
        <x:v>Spain (Canaries)</x:v>
      </x:c>
      <x:c r="H53" t="str">
        <x:v>Jet2</x:v>
      </x:c>
      <x:c r="I53" t="str">
        <x:v>LS176</x:v>
      </x:c>
      <x:c r="J53" t="str">
        <x:v>Atlantic islands (Spanish/Portuguese territory)</x:v>
      </x:c>
    </x:row>
    <x:row r="54">
      <x:c r="A54" t="str">
        <x:v>Glasgow</x:v>
      </x:c>
      <x:c r="B54" t="str">
        <x:v>Fri</x:v>
      </x:c>
      <x:c r="C54" s="50" t="n">
        <x:v>46409</x:v>
      </x:c>
      <x:c r="D54" s="52" t="n">
        <x:v>0.631944444444444</x:v>
      </x:c>
      <x:c r="E54" s="52" t="n">
        <x:v>0.822916666666667</x:v>
      </x:c>
      <x:c r="F54" t="str">
        <x:v>Lanzarote</x:v>
      </x:c>
      <x:c r="G54" t="str">
        <x:v>Spain (Canaries)</x:v>
      </x:c>
      <x:c r="H54" t="str">
        <x:v>Jet2</x:v>
      </x:c>
      <x:c r="I54" t="str">
        <x:v>LS170</x:v>
      </x:c>
      <x:c r="J54" t="str">
        <x:v>Atlantic islands (Spanish/Portuguese territory)</x:v>
      </x:c>
    </x:row>
    <x:row r="55">
      <x:c r="A55" t="str">
        <x:v>Glasgow</x:v>
      </x:c>
      <x:c r="B55" t="str">
        <x:v>Fri</x:v>
      </x:c>
      <x:c r="C55" s="50" t="n">
        <x:v>46409</x:v>
      </x:c>
      <x:c r="D55" s="52" t="n">
        <x:v>0.75</x:v>
      </x:c>
      <x:c r="E55" s="52" t="n">
        <x:v>0.833333333333333</x:v>
      </x:c>
      <x:c r="F55" t="str">
        <x:v>Kraków</x:v>
      </x:c>
      <x:c r="G55" t="str">
        <x:v>Poland</x:v>
      </x:c>
      <x:c r="H55" t="str">
        <x:v>Ryanair</x:v>
      </x:c>
      <x:c r="I55" t="str">
        <x:v>FR4203</x:v>
      </x:c>
      <x:c r="J55"/>
    </x:row>
    <x:row r="56">
      <x:c r="A56" t="str">
        <x:v>Glasgow</x:v>
      </x:c>
      <x:c r="B56" t="str">
        <x:v>Fri</x:v>
      </x:c>
      <x:c r="C56" s="50" t="n">
        <x:v>46409</x:v>
      </x:c>
      <x:c r="D56" s="52" t="n">
        <x:v>0.819444444444444</x:v>
      </x:c>
      <x:c r="E56" s="52" t="n">
        <x:v>0.854166666666667</x:v>
      </x:c>
      <x:c r="F56" t="str">
        <x:v>Paris CDG</x:v>
      </x:c>
      <x:c r="G56" t="str">
        <x:v>France</x:v>
      </x:c>
      <x:c r="H56" t="str">
        <x:v>easyJet</x:v>
      </x:c>
      <x:c r="I56" t="str">
        <x:v>U24675</x:v>
      </x:c>
      <x:c r="J56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3" hidden="0" customWidth="1"/>
    <x:col min="3" max="3" width="85" hidden="0" customWidth="1"/>
  </x:cols>
  <x:sheetData>
    <x:row r="1" ht="33" customHeight="1">
      <x:c r="A1" s="4" t="str">
        <x:v>JANUARY 2027 | SEARCH RULES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Source hierarchy, editable costs and interpretation of flight evidence</x:v>
      </x:c>
      <x:c r="B2" s="10"/>
      <x:c r="C2" s="10"/>
      <x:c r="D2" s="10"/>
      <x:c r="E2" s="10"/>
      <x:c r="F2" s="10"/>
      <x:c r="G2" s="10"/>
      <x:c r="H2" s="10"/>
    </x:row>
    <x:row r="4" ht="37" customHeight="1">
      <x:c r="A4" s="17" t="str">
        <x:v>Setting</x:v>
      </x:c>
      <x:c r="B4" s="17" t="str">
        <x:v>Value</x:v>
      </x:c>
      <x:c r="C4" s="17" t="str">
        <x:v>Interpretation</x:v>
      </x:c>
    </x:row>
    <x:row r="5" ht="23" customHeight="1">
      <x:c r="A5" s="22" t="str">
        <x:v>Travel window</x:v>
      </x:c>
      <x:c r="B5" t="str">
        <x:v>17–22 January 2027</x:v>
      </x:c>
      <x:c r="C5" t="str">
        <x:v>Depart Sunday 17 or Monday 18; return Thursday 21 or Friday 22.</x:v>
      </x:c>
    </x:row>
    <x:row r="6" ht="23" customHeight="1">
      <x:c r="A6" s="22" t="str">
        <x:v>Minimum nights</x:v>
      </x:c>
      <x:c r="B6" t="n">
        <x:v>4</x:v>
      </x:c>
      <x:c r="C6" t="str">
        <x:v>Only 17→21, 17→22 or 18→22 combinations qualify.</x:v>
      </x:c>
    </x:row>
    <x:row r="7" ht="23" customHeight="1">
      <x:c r="A7" s="22" t="str">
        <x:v>Adults</x:v>
      </x:c>
      <x:c r="B7" t="n">
        <x:v>2</x:v>
      </x:c>
      <x:c r="C7" t="str">
        <x:v>Travellers sharing one double/twin room.</x:v>
      </x:c>
    </x:row>
    <x:row r="8" ht="23" customHeight="1">
      <x:c r="A8" s="22" t="str">
        <x:v>Optional baggage budget per adult</x:v>
      </x:c>
      <x:c r="B8" t="n">
        <x:v>25</x:v>
      </x:c>
      <x:c r="C8" t="str">
        <x:v>Illustrative allowance; depends on airline and bag type.</x:v>
      </x:c>
    </x:row>
    <x:row r="9" ht="23" customHeight="1">
      <x:c r="A9" s="22" t="str">
        <x:v>Estimated transfers for two</x:v>
      </x:c>
      <x:c r="B9" t="n">
        <x:v>50</x:v>
      </x:c>
      <x:c r="C9" t="str">
        <x:v>Illustrative allowance; airport and intercity connections may cost more.</x:v>
      </x:c>
    </x:row>
    <x:row r="10" ht="23" customHeight="1">
      <x:c r="A10" s="22" t="str">
        <x:v>Original timetable scope</x:v>
      </x:c>
      <x:c r="B10" t="str">
        <x:v>Morning out / afternoon-evening return</x:v>
      </x:c>
      <x:c r="C10" t="str">
        <x:v>User spreadsheet lists only departures before 12:00 and arrivals 15:00–21:00.</x:v>
      </x:c>
    </x:row>
    <x:row r="11" ht="23" customHeight="1">
      <x:c r="A11" s="22" t="str">
        <x:v>Updated time rule</x:v>
      </x:c>
      <x:c r="B11" t="str">
        <x:v>No fixed clock-time limits</x:v>
      </x:c>
      <x:c r="C11" t="str">
        <x:v>Outside those time bands is permitted; prioritise useful days.</x:v>
      </x:c>
    </x:row>
    <x:row r="12" ht="23" customHeight="1">
      <x:c r="A12" s="22" t="str">
        <x:v>Flight fares</x:v>
      </x:c>
      <x:c r="B12" t="str">
        <x:v>Indicative—not live-bookable guarantees</x:v>
      </x:c>
      <x:c r="C12" t="str">
        <x:v>User flight spreadsheet contains schedules, not prices.</x:v>
      </x:c>
    </x:row>
    <x:row r="13" ht="23" customHeight="1">
      <x:c r="A13" s="22" t="str">
        <x:v>Room quotes</x:v>
      </x:c>
      <x:c r="B13" t="str">
        <x:v>Accommodation searches on 23 Oct 2026</x:v>
      </x:c>
      <x:c r="C13" t="str">
        <x:v>Two people, entire stated stay; may fluctuate and conditions vary.</x:v>
      </x:c>
    </x:row>
    <x:row r="14" ht="23" customHeight="1">
      <x:c r="A14" s="22" t="str">
        <x:v>Fare + stay calculation</x:v>
      </x:c>
      <x:c r="B14" t="str">
        <x:v>(return fare/person × adults) + 1 room</x:v>
      </x:c>
      <x:c r="C14" t="str">
        <x:v>Only calculated when return fare matches the exact chosen itinerary.</x:v>
      </x:c>
    </x:row>
    <x:row r="15" ht="23" customHeight="1">
      <x:c r="A15" s="22" t="str">
        <x:v>Extras calculation</x:v>
      </x:c>
      <x:c r="B15" t="str">
        <x:v>fare + stay + (bag allowance × adults) + transfers</x:v>
      </x:c>
      <x:c r="C15" t="str">
        <x:v>Illustrative comparison; food and attractions excluded.</x:v>
      </x:c>
    </x:row>
    <x:row r="16" ht="23" customHeight="1">
      <x:c r="A16" s="22" t="str">
        <x:v>Not automatically excluded</x:v>
      </x:c>
      <x:c r="B16" t="str">
        <x:v>Cities absent from uploaded flight sheet</x:v>
      </x:c>
      <x:c r="C16" t="str">
        <x:v>It was time-filtered, so missing entries do not prove no other services.</x:v>
      </x:c>
    </x:row>
    <x:row r="17" ht="23" customHeight="1">
      <x:c r="A17" s="22" t="str">
        <x:v>Connecting options</x:v>
      </x:c>
      <x:c r="B17" t="str">
        <x:v>Separate validation required</x:v>
      </x:c>
      <x:c r="C17" t="str">
        <x:v>Potentially very long/self-transfer itineraries; do not book before checking.</x:v>
      </x:c>
    </x:row>
    <x:row r="18" ht="23" customHeight="1">
      <x:c r="A18" s="22" t="str">
        <x:v>Excluded regions</x:v>
      </x:c>
      <x:c r="B18" t="str">
        <x:v>Jordan and Croatia</x:v>
      </x:c>
      <x:c r="C18" t="str">
        <x:v>Per request.</x:v>
      </x:c>
    </x:row>
    <x:row r="19" ht="23" customHeight="1">
      <x:c r="A19" s="22" t="str">
        <x:v>Data sources</x:v>
      </x:c>
      <x:c r="B19" t="str">
        <x:v>User flight list / Skyscanner / Expedia / lastminute.com / Booking.com</x:v>
      </x:c>
      <x:c r="C19" t="str">
        <x:v>Source links and status recorded per itinerary.</x:v>
      </x:c>
    </x:row>
    <x:row r="20" ht="23" customHeight="1">
      <x:c r="A20" s="22" t="str">
        <x:v>FlightsFrom timetable</x:v>
      </x:c>
      <x:c r="B20" t="str">
        <x:v>https://www.flightsfrom.com/EDI</x:v>
      </x:c>
      <x:c r="C20" t="str">
        <x:v>Original user file also cites https://www.flightsfrom.com/GLA.</x:v>
      </x:c>
    </x:row>
    <x:row r="22" ht="26" customHeight="1">
      <x:c r="A22" s="43" t="str">
        <x:v>IMPORTANT EVIDENCE LIMITATIONS</x:v>
      </x:c>
      <x:c r="B22" s="43"/>
      <x:c r="C22" s="43"/>
    </x:row>
    <x:row r="23" ht="33" customHeight="1">
      <x:c r="A23" s="22" t="str">
        <x:v>1. Direct schedule pair</x:v>
      </x:c>
      <x:c r="B23" t="str">
        <x:v>Two flights in the user-uploaded timetable with same UK airport and destination, dates yielding 4–5 nights.</x:v>
      </x:c>
      <x:c r="C23" t="str">
        <x:v>Not proof of airline seat availability or current price.</x:v>
      </x:c>
    </x:row>
    <x:row r="24" ht="33" customHeight="1">
      <x:c r="A24" s="22" t="str">
        <x:v>2. Matched priced trip</x:v>
      </x:c>
      <x:c r="B24" t="str">
        <x:v>A prior indexed return fare for the exact outbound/return dates, plus a hotel quote for that stay.</x:v>
      </x:c>
      <x:c r="C24" t="str">
        <x:v>Recheck departure times, return timings, layovers and baggage; flights may be stale.</x:v>
      </x:c>
    </x:row>
    <x:row r="25" ht="33" customHeight="1">
      <x:c r="A25" s="22" t="str">
        <x:v>3. Not in uploaded flight list</x:v>
      </x:c>
      <x:c r="B25" t="str">
        <x:v>A city can still be viable: the upload only contained flights before 12:00 out and arriving UK 15:00–21:00.</x:v>
      </x:c>
      <x:c r="C25" t="str">
        <x:v>Do not eliminate without searching all day or suitable connections.</x:v>
      </x:c>
    </x:row>
    <x:row r="26" ht="33" customHeight="1">
      <x:c r="A26" s="22" t="str">
        <x:v>4. Connection-only searches</x:v>
      </x:c>
      <x:c r="B26" t="str">
        <x:v>Earlier date-search results exist for 18–22 January, but individual flight timing was unavailable.</x:v>
      </x:c>
      <x:c r="C26" t="str">
        <x:v>Shown separately and deliberately omitted from priced ranking.</x:v>
      </x:c>
    </x:row>
    <x:row r="27" ht="33" customHeight="1">
      <x:c r="A27" s="22" t="str">
        <x:v>5. Destination geography</x:v>
      </x:c>
      <x:c r="B27" t="str">
        <x:v>The Canary Islands and Istanbul are included as prior comparison options.</x:v>
      </x:c>
      <x:c r="C27" t="str">
        <x:v>Canary Islands are Spanish territory but geographically off Africa.</x:v>
      </x:c>
    </x:row>
    <x:row r="28" ht="33" customHeight="1">
      <x:c r="A28" s="22" t="str">
        <x:v>6. Pairing quality</x:v>
      </x:c>
      <x:c r="B28" t="str">
        <x:v>Hours in destination = scheduled inbound-flight departure (destination local) minus outbound arrival (destination local).</x:v>
      </x:c>
      <x:c r="C28" t="str">
        <x:v>Computed from user flight list only; ground transfers, delays and check-in are excluded.</x:v>
      </x:c>
    </x:row>
    <x:row r="29" ht="33" customHeight="1">
      <x:c r="A29" s="22" t="str">
        <x:v>7. Return rule</x:v>
      </x:c>
      <x:c r="B29" t="str">
        <x:v>21 or 22 January UK arrival; 17 or 18 January UK departure.</x:v>
      </x:c>
      <x:c r="C29" t="str">
        <x:v>Only four or five calendar nights; 18→21 is three nights, so excluded.</x:v>
      </x:c>
    </x:row>
  </x:sheetData>
  <x:mergeCells>
    <x:mergeCell ref="A1:H1"/>
    <x:mergeCell ref="A2:H2"/>
    <x:mergeCell ref="A22:C22"/>
  </x:mergeCells>
  <x:pageMargins left="0.7" right="0.7" top="0.75" bottom="0.75" header="0.3" footer="0.3"/>
</x:worksheet>
</file>